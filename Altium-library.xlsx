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ltium-Library\"/>
    </mc:Choice>
  </mc:AlternateContent>
  <xr:revisionPtr revIDLastSave="0" documentId="13_ncr:1_{B94F3AAB-82D7-4DE2-879A-3EC88CEEDFEF}" xr6:coauthVersionLast="47" xr6:coauthVersionMax="47" xr10:uidLastSave="{00000000-0000-0000-0000-000000000000}"/>
  <bookViews>
    <workbookView xWindow="-120" yWindow="-120" windowWidth="38640" windowHeight="21120" tabRatio="771" activeTab="7" xr2:uid="{C01531D5-0FFE-4276-86E2-3D80C8EFC4F5}"/>
  </bookViews>
  <sheets>
    <sheet name="Capacitors_General" sheetId="1" r:id="rId1"/>
    <sheet name="Capacitors_RF" sheetId="17" r:id="rId2"/>
    <sheet name="Integrated_Power" sheetId="8" r:id="rId3"/>
    <sheet name="Resistors" sheetId="2" r:id="rId4"/>
    <sheet name="Inductors_RF" sheetId="3" r:id="rId5"/>
    <sheet name="Inductors_Power" sheetId="15" r:id="rId6"/>
    <sheet name="Filters" sheetId="16" r:id="rId7"/>
    <sheet name="IC_RF" sheetId="4" r:id="rId8"/>
    <sheet name="Connectors" sheetId="5" r:id="rId9"/>
    <sheet name="Transistors" sheetId="11" r:id="rId10"/>
    <sheet name="Misc" sheetId="6" r:id="rId11"/>
    <sheet name="IC_Analog" sheetId="12" r:id="rId12"/>
    <sheet name="IC_DIGITAL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70" i="2" l="1"/>
  <c r="L70" i="2" s="1"/>
  <c r="K10" i="15"/>
  <c r="J10" i="15"/>
  <c r="J58" i="4"/>
  <c r="K58" i="4" s="1"/>
  <c r="K57" i="4"/>
  <c r="J57" i="4"/>
  <c r="J56" i="4"/>
  <c r="K56" i="4" s="1"/>
  <c r="J55" i="4"/>
  <c r="K55" i="4" s="1"/>
  <c r="J54" i="4"/>
  <c r="K54" i="4" s="1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K42" i="4" s="1"/>
  <c r="J43" i="4"/>
  <c r="K43" i="4" s="1"/>
  <c r="J44" i="4"/>
  <c r="K44" i="4" s="1"/>
  <c r="J45" i="4"/>
  <c r="K45" i="4" s="1"/>
  <c r="J46" i="4"/>
  <c r="K46" i="4" s="1"/>
  <c r="J47" i="4"/>
  <c r="K47" i="4" s="1"/>
  <c r="J48" i="4"/>
  <c r="K48" i="4" s="1"/>
  <c r="J49" i="4"/>
  <c r="K49" i="4" s="1"/>
  <c r="J50" i="4"/>
  <c r="K50" i="4" s="1"/>
  <c r="J51" i="4"/>
  <c r="K51" i="4" s="1"/>
  <c r="J52" i="4"/>
  <c r="K52" i="4" s="1"/>
  <c r="J53" i="4"/>
  <c r="J2" i="4"/>
  <c r="K53" i="4"/>
  <c r="K69" i="2"/>
  <c r="L69" i="2" s="1"/>
  <c r="K68" i="2"/>
  <c r="L68" i="2" s="1"/>
  <c r="K67" i="2"/>
  <c r="L67" i="2" s="1"/>
  <c r="M11" i="3"/>
  <c r="L11" i="3"/>
  <c r="K66" i="2"/>
  <c r="L66" i="2" s="1"/>
  <c r="R18" i="17"/>
  <c r="S18" i="17" s="1"/>
  <c r="S3" i="17"/>
  <c r="S4" i="17"/>
  <c r="S5" i="17"/>
  <c r="S6" i="17"/>
  <c r="S7" i="17"/>
  <c r="S8" i="17"/>
  <c r="S9" i="17"/>
  <c r="S10" i="17"/>
  <c r="S11" i="17"/>
  <c r="S12" i="17"/>
  <c r="S13" i="17"/>
  <c r="S14" i="17"/>
  <c r="S15" i="17"/>
  <c r="S16" i="17"/>
  <c r="S17" i="17"/>
  <c r="S2" i="17"/>
  <c r="R3" i="17"/>
  <c r="R4" i="17"/>
  <c r="R5" i="17"/>
  <c r="R7" i="17"/>
  <c r="R8" i="17"/>
  <c r="R9" i="17"/>
  <c r="R10" i="17"/>
  <c r="R11" i="17"/>
  <c r="R12" i="17"/>
  <c r="R13" i="17"/>
  <c r="R14" i="17"/>
  <c r="R15" i="17"/>
  <c r="R16" i="17"/>
  <c r="R17" i="17"/>
  <c r="P2" i="1"/>
  <c r="M10" i="3"/>
  <c r="L10" i="3"/>
  <c r="K3" i="15"/>
  <c r="K4" i="15"/>
  <c r="K5" i="15"/>
  <c r="K6" i="15"/>
  <c r="K7" i="15"/>
  <c r="K8" i="15"/>
  <c r="K9" i="15"/>
  <c r="K2" i="15"/>
  <c r="J9" i="15"/>
  <c r="J3" i="15"/>
  <c r="J4" i="15"/>
  <c r="J5" i="15"/>
  <c r="J6" i="15"/>
  <c r="J7" i="15"/>
  <c r="J8" i="15"/>
  <c r="J2" i="15"/>
  <c r="L2" i="3"/>
  <c r="M9" i="3"/>
  <c r="L9" i="3"/>
  <c r="L8" i="3"/>
  <c r="M8" i="3" s="1"/>
  <c r="M7" i="3"/>
  <c r="L7" i="3"/>
  <c r="H2" i="16"/>
  <c r="I2" i="16" s="1"/>
  <c r="H3" i="16"/>
  <c r="I3" i="16" s="1"/>
  <c r="K65" i="2"/>
  <c r="L65" i="2" s="1"/>
  <c r="K64" i="2"/>
  <c r="L64" i="2" s="1"/>
  <c r="K63" i="2"/>
  <c r="L63" i="2" s="1"/>
  <c r="I13" i="13"/>
  <c r="J13" i="13" s="1"/>
  <c r="P3" i="1"/>
  <c r="K62" i="2"/>
  <c r="L62" i="2" s="1"/>
  <c r="K24" i="8"/>
  <c r="L24" i="8" s="1"/>
  <c r="P34" i="1"/>
  <c r="Q34" i="1" s="1"/>
  <c r="K61" i="2"/>
  <c r="L61" i="2" s="1"/>
  <c r="L23" i="8"/>
  <c r="K23" i="8"/>
  <c r="K60" i="2"/>
  <c r="L60" i="2" s="1"/>
  <c r="K59" i="2"/>
  <c r="L59" i="2" s="1"/>
  <c r="I12" i="13" l="1"/>
  <c r="J12" i="13" s="1"/>
  <c r="K41" i="4"/>
  <c r="K58" i="2"/>
  <c r="L58" i="2" s="1"/>
  <c r="K57" i="2"/>
  <c r="L57" i="2" s="1"/>
  <c r="K40" i="4"/>
  <c r="K39" i="4"/>
  <c r="K38" i="4"/>
  <c r="K56" i="2"/>
  <c r="L56" i="2" s="1"/>
  <c r="K55" i="2"/>
  <c r="L55" i="2" s="1"/>
  <c r="K22" i="8"/>
  <c r="L22" i="8" s="1"/>
  <c r="K54" i="2"/>
  <c r="L54" i="2" s="1"/>
  <c r="K37" i="4"/>
  <c r="K36" i="4"/>
  <c r="K21" i="8"/>
  <c r="L21" i="8" s="1"/>
  <c r="K53" i="2"/>
  <c r="L53" i="2" s="1"/>
  <c r="K52" i="2"/>
  <c r="L52" i="2" s="1"/>
  <c r="K51" i="2"/>
  <c r="L51" i="2" s="1"/>
  <c r="K50" i="2"/>
  <c r="L50" i="2" s="1"/>
  <c r="L20" i="8"/>
  <c r="K20" i="8"/>
  <c r="L49" i="2"/>
  <c r="K49" i="2"/>
  <c r="Q33" i="1"/>
  <c r="P33" i="1"/>
  <c r="K22" i="5"/>
  <c r="J22" i="5"/>
  <c r="K21" i="5"/>
  <c r="J21" i="5"/>
  <c r="I11" i="13"/>
  <c r="J11" i="13" s="1"/>
  <c r="I10" i="13"/>
  <c r="J10" i="13" s="1"/>
  <c r="K35" i="4"/>
  <c r="K34" i="4"/>
  <c r="K33" i="4"/>
  <c r="K32" i="4"/>
  <c r="K31" i="4"/>
  <c r="L6" i="3"/>
  <c r="M6" i="3" s="1"/>
  <c r="K30" i="4"/>
  <c r="K29" i="4"/>
  <c r="K28" i="4"/>
  <c r="P32" i="1"/>
  <c r="Q32" i="1" s="1"/>
  <c r="K27" i="4"/>
  <c r="K26" i="4"/>
  <c r="K25" i="4"/>
  <c r="K24" i="4"/>
  <c r="K23" i="4"/>
  <c r="J17" i="6"/>
  <c r="I17" i="6"/>
  <c r="J20" i="5"/>
  <c r="K20" i="5" s="1"/>
  <c r="J16" i="6"/>
  <c r="I16" i="6"/>
  <c r="K18" i="5"/>
  <c r="J18" i="5"/>
  <c r="J19" i="5"/>
  <c r="K19" i="5" s="1"/>
  <c r="K7" i="12"/>
  <c r="J7" i="12"/>
  <c r="K48" i="2"/>
  <c r="L48" i="2" s="1"/>
  <c r="K47" i="2"/>
  <c r="L47" i="2" s="1"/>
  <c r="K46" i="2"/>
  <c r="L46" i="2" s="1"/>
  <c r="I9" i="13"/>
  <c r="J9" i="13" s="1"/>
  <c r="K45" i="2"/>
  <c r="L45" i="2" s="1"/>
  <c r="K15" i="5"/>
  <c r="K16" i="5"/>
  <c r="K17" i="5"/>
  <c r="J17" i="5"/>
  <c r="L19" i="8"/>
  <c r="K18" i="8"/>
  <c r="L18" i="8" s="1"/>
  <c r="K19" i="8"/>
  <c r="L17" i="8"/>
  <c r="K17" i="8"/>
  <c r="K44" i="2"/>
  <c r="L44" i="2" s="1"/>
  <c r="K43" i="2"/>
  <c r="L43" i="2" s="1"/>
  <c r="K42" i="2"/>
  <c r="L42" i="2" s="1"/>
  <c r="K6" i="12"/>
  <c r="J6" i="12"/>
  <c r="I8" i="13"/>
  <c r="J8" i="13" s="1"/>
  <c r="I15" i="6"/>
  <c r="J15" i="6" s="1"/>
  <c r="J14" i="6"/>
  <c r="I14" i="6"/>
  <c r="J13" i="6"/>
  <c r="I13" i="6"/>
  <c r="K41" i="2"/>
  <c r="L41" i="2" s="1"/>
  <c r="J12" i="6"/>
  <c r="I12" i="6"/>
  <c r="I7" i="13"/>
  <c r="J7" i="13" s="1"/>
  <c r="K5" i="12"/>
  <c r="J5" i="12"/>
  <c r="K14" i="5"/>
  <c r="J14" i="5"/>
  <c r="I11" i="6"/>
  <c r="J11" i="6" s="1"/>
  <c r="K40" i="2"/>
  <c r="L40" i="2" s="1"/>
  <c r="I4" i="13"/>
  <c r="J4" i="13" s="1"/>
  <c r="I5" i="13"/>
  <c r="J5" i="13" s="1"/>
  <c r="I6" i="13"/>
  <c r="J6" i="13" s="1"/>
  <c r="I3" i="13"/>
  <c r="J3" i="13" s="1"/>
  <c r="Q31" i="1"/>
  <c r="K39" i="2"/>
  <c r="L39" i="2" s="1"/>
  <c r="K38" i="2"/>
  <c r="L38" i="2" s="1"/>
  <c r="K37" i="2"/>
  <c r="L37" i="2" s="1"/>
  <c r="K36" i="2"/>
  <c r="L36" i="2" s="1"/>
  <c r="K35" i="2"/>
  <c r="L35" i="2" s="1"/>
  <c r="P30" i="1"/>
  <c r="Q30" i="1" s="1"/>
  <c r="P29" i="1"/>
  <c r="Q29" i="1" s="1"/>
  <c r="K13" i="5"/>
  <c r="J13" i="5"/>
  <c r="K16" i="8"/>
  <c r="L16" i="8" s="1"/>
  <c r="I2" i="13"/>
  <c r="J2" i="13" s="1"/>
  <c r="J2" i="12"/>
  <c r="K2" i="12" s="1"/>
  <c r="K12" i="5"/>
  <c r="J12" i="5"/>
  <c r="K15" i="8"/>
  <c r="L15" i="8" s="1"/>
  <c r="J11" i="5"/>
  <c r="K11" i="5" s="1"/>
  <c r="J10" i="5"/>
  <c r="K10" i="5" s="1"/>
  <c r="K34" i="2"/>
  <c r="L34" i="2" s="1"/>
  <c r="K28" i="2"/>
  <c r="L28" i="2" s="1"/>
  <c r="K23" i="2"/>
  <c r="L23" i="2" s="1"/>
  <c r="P7" i="1"/>
  <c r="Q7" i="1" s="1"/>
  <c r="P24" i="1"/>
  <c r="Q24" i="1" s="1"/>
  <c r="P22" i="1"/>
  <c r="Q22" i="1" s="1"/>
  <c r="K14" i="8"/>
  <c r="L14" i="8" s="1"/>
  <c r="K13" i="8"/>
  <c r="L13" i="8" s="1"/>
  <c r="K4" i="12"/>
  <c r="J4" i="12"/>
  <c r="K3" i="12"/>
  <c r="J3" i="12"/>
  <c r="K9" i="5"/>
  <c r="J9" i="5"/>
  <c r="I10" i="6"/>
  <c r="J10" i="6" s="1"/>
  <c r="K22" i="4"/>
  <c r="P26" i="1"/>
  <c r="Q26" i="1" s="1"/>
  <c r="K12" i="8"/>
  <c r="L12" i="8" s="1"/>
  <c r="K11" i="8"/>
  <c r="L11" i="8" s="1"/>
  <c r="K5" i="11"/>
  <c r="L5" i="11" s="1"/>
  <c r="K30" i="2"/>
  <c r="L30" i="2" s="1"/>
  <c r="K33" i="2"/>
  <c r="L33" i="2" s="1"/>
  <c r="K26" i="2"/>
  <c r="L26" i="2" s="1"/>
  <c r="K16" i="2"/>
  <c r="L16" i="2" s="1"/>
  <c r="K9" i="2"/>
  <c r="L9" i="2" s="1"/>
  <c r="P19" i="1"/>
  <c r="Q19" i="1" s="1"/>
  <c r="P25" i="1"/>
  <c r="Q25" i="1" s="1"/>
  <c r="K32" i="2"/>
  <c r="L32" i="2" s="1"/>
  <c r="P21" i="1"/>
  <c r="Q21" i="1" s="1"/>
  <c r="L10" i="8"/>
  <c r="K10" i="8"/>
  <c r="L9" i="8"/>
  <c r="K9" i="8"/>
  <c r="K21" i="4"/>
  <c r="K20" i="4"/>
  <c r="K19" i="4"/>
  <c r="K18" i="4"/>
  <c r="K17" i="4"/>
  <c r="K16" i="4"/>
  <c r="K15" i="4"/>
  <c r="P15" i="1"/>
  <c r="Q15" i="1" s="1"/>
  <c r="L4" i="11"/>
  <c r="K4" i="11"/>
  <c r="K10" i="2"/>
  <c r="L10" i="2" s="1"/>
  <c r="I9" i="6"/>
  <c r="J9" i="6" s="1"/>
  <c r="K8" i="5"/>
  <c r="J8" i="5"/>
  <c r="K4" i="2"/>
  <c r="L4" i="2" s="1"/>
  <c r="K19" i="2"/>
  <c r="L19" i="2" s="1"/>
  <c r="K24" i="2"/>
  <c r="L24" i="2" s="1"/>
  <c r="K17" i="2"/>
  <c r="L17" i="2" s="1"/>
  <c r="L5" i="3"/>
  <c r="M5" i="3" s="1"/>
  <c r="L4" i="3"/>
  <c r="M4" i="3" s="1"/>
  <c r="I8" i="6"/>
  <c r="J8" i="6" s="1"/>
  <c r="K5" i="2"/>
  <c r="L5" i="2" s="1"/>
  <c r="I7" i="6"/>
  <c r="J7" i="6" s="1"/>
  <c r="I6" i="6"/>
  <c r="J6" i="6" s="1"/>
  <c r="P23" i="1"/>
  <c r="Q23" i="1" s="1"/>
  <c r="Q3" i="1"/>
  <c r="P17" i="1"/>
  <c r="Q17" i="1" s="1"/>
  <c r="K14" i="4"/>
  <c r="P18" i="1"/>
  <c r="Q18" i="1" s="1"/>
  <c r="K31" i="2"/>
  <c r="L31" i="2" s="1"/>
  <c r="K12" i="2"/>
  <c r="L12" i="2" s="1"/>
  <c r="K21" i="2"/>
  <c r="L21" i="2" s="1"/>
  <c r="K27" i="2"/>
  <c r="L27" i="2" s="1"/>
  <c r="K13" i="4"/>
  <c r="K12" i="4"/>
  <c r="K11" i="4"/>
  <c r="K7" i="5"/>
  <c r="J7" i="5"/>
  <c r="L3" i="11"/>
  <c r="K3" i="11"/>
  <c r="K2" i="11"/>
  <c r="L2" i="11" s="1"/>
  <c r="K13" i="2"/>
  <c r="L13" i="2" s="1"/>
  <c r="L3" i="2"/>
  <c r="K3" i="2"/>
  <c r="K8" i="8"/>
  <c r="L8" i="8" s="1"/>
  <c r="K10" i="4"/>
  <c r="K9" i="4"/>
  <c r="K8" i="4"/>
  <c r="K6" i="5"/>
  <c r="J6" i="5"/>
  <c r="K7" i="4"/>
  <c r="K6" i="4"/>
  <c r="K5" i="4"/>
  <c r="K18" i="2"/>
  <c r="L18" i="2" s="1"/>
  <c r="P4" i="1"/>
  <c r="Q4" i="1" s="1"/>
  <c r="Q2" i="1"/>
  <c r="P11" i="1"/>
  <c r="Q11" i="1" s="1"/>
  <c r="Q14" i="1"/>
  <c r="P8" i="1"/>
  <c r="Q8" i="1" s="1"/>
  <c r="P9" i="1"/>
  <c r="Q9" i="1" s="1"/>
  <c r="P6" i="1"/>
  <c r="Q6" i="1" s="1"/>
  <c r="P16" i="1"/>
  <c r="Q16" i="1" s="1"/>
  <c r="P28" i="1"/>
  <c r="Q28" i="1" s="1"/>
  <c r="P12" i="1"/>
  <c r="Q12" i="1" s="1"/>
  <c r="Q27" i="1"/>
  <c r="Q20" i="1"/>
  <c r="J5" i="5"/>
  <c r="K5" i="5" s="1"/>
  <c r="L3" i="3"/>
  <c r="M3" i="3" s="1"/>
  <c r="M2" i="3"/>
  <c r="K11" i="2"/>
  <c r="L11" i="2" s="1"/>
  <c r="I3" i="6"/>
  <c r="J3" i="6" s="1"/>
  <c r="I2" i="6"/>
  <c r="J2" i="6" s="1"/>
  <c r="K14" i="2"/>
  <c r="L14" i="2" s="1"/>
  <c r="K8" i="2"/>
  <c r="L8" i="2" s="1"/>
  <c r="K7" i="2"/>
  <c r="L7" i="2" s="1"/>
  <c r="K25" i="2"/>
  <c r="L25" i="2" s="1"/>
  <c r="K15" i="2"/>
  <c r="L15" i="2" s="1"/>
  <c r="K22" i="2"/>
  <c r="L22" i="2" s="1"/>
  <c r="K2" i="2"/>
  <c r="L2" i="2" s="1"/>
  <c r="K20" i="2"/>
  <c r="L20" i="2" s="1"/>
  <c r="K6" i="2"/>
  <c r="L6" i="2" s="1"/>
  <c r="K29" i="2"/>
  <c r="L29" i="2" s="1"/>
  <c r="K7" i="8"/>
  <c r="L7" i="8" s="1"/>
  <c r="K6" i="8"/>
  <c r="L6" i="8" s="1"/>
  <c r="K5" i="8"/>
  <c r="L5" i="8" s="1"/>
  <c r="K4" i="8"/>
  <c r="L4" i="8" s="1"/>
  <c r="K3" i="8"/>
  <c r="L3" i="8" s="1"/>
  <c r="K2" i="8"/>
  <c r="L2" i="8" s="1"/>
  <c r="P10" i="1"/>
  <c r="Q10" i="1" s="1"/>
  <c r="P13" i="1"/>
  <c r="Q13" i="1" s="1"/>
  <c r="P5" i="1"/>
  <c r="Q5" i="1" s="1"/>
  <c r="J4" i="5"/>
  <c r="K4" i="5" s="1"/>
  <c r="J3" i="5"/>
  <c r="K3" i="5" s="1"/>
  <c r="J2" i="5"/>
  <c r="K2" i="5" s="1"/>
  <c r="K3" i="4"/>
  <c r="K4" i="4"/>
  <c r="K2" i="4"/>
</calcChain>
</file>

<file path=xl/sharedStrings.xml><?xml version="1.0" encoding="utf-8"?>
<sst xmlns="http://schemas.openxmlformats.org/spreadsheetml/2006/main" count="2924" uniqueCount="1040">
  <si>
    <t>Part Number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</si>
  <si>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</si>
  <si>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</si>
  <si>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</si>
  <si>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</si>
  <si>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</si>
  <si>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</si>
  <si>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</si>
  <si>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</si>
  <si>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0402</t>
  </si>
  <si>
    <t>CAP</t>
  </si>
  <si>
    <t>0603</t>
  </si>
  <si>
    <t>0805</t>
  </si>
  <si>
    <t>IND</t>
  </si>
  <si>
    <t>Footprint Ref 2</t>
  </si>
  <si>
    <t>Footprint Path 1</t>
  </si>
  <si>
    <t>Footprint Ref 1</t>
  </si>
  <si>
    <t>Tolerance</t>
  </si>
  <si>
    <t>./footprints/passive/cap.pcblib</t>
  </si>
  <si>
    <t>Type</t>
  </si>
  <si>
    <t>±1%</t>
  </si>
  <si>
    <t>±2%</t>
  </si>
  <si>
    <t>±5%</t>
  </si>
  <si>
    <t>±10%</t>
  </si>
  <si>
    <t>±20%</t>
  </si>
  <si>
    <t>0201</t>
  </si>
  <si>
    <t>NP0</t>
  </si>
  <si>
    <t>X7R</t>
  </si>
  <si>
    <t>X5R</t>
  </si>
  <si>
    <t>UID</t>
  </si>
  <si>
    <t>PnP_name</t>
  </si>
  <si>
    <t>0402_RF</t>
  </si>
  <si>
    <t>Footprint Path 2</t>
  </si>
  <si>
    <t>Ceramic</t>
  </si>
  <si>
    <t>CWDT8005</t>
  </si>
  <si>
    <t>Chengdu Cuiwei Electronic Co</t>
  </si>
  <si>
    <t>PnP_Name</t>
  </si>
  <si>
    <t>Power</t>
  </si>
  <si>
    <t>CWS23902</t>
  </si>
  <si>
    <t>QFN-40</t>
  </si>
  <si>
    <t>IPA-0206B-CQ5B</t>
  </si>
  <si>
    <t>GaN HEMT 10 Watt PA; DC-8.0 GHz; Gain 15 dB</t>
  </si>
  <si>
    <t>2.3- 5 GHz Dual-Channel Switch LNA Module</t>
  </si>
  <si>
    <t>GaAs MMIC 1.2 Watt PA; 2-6 GHz; Gain 30 dB</t>
  </si>
  <si>
    <t>IC VALLEY Microelectronics</t>
  </si>
  <si>
    <t>./symbols/IC/RF/RF_SoC.SchLib</t>
  </si>
  <si>
    <t>RF Connectors / Coaxial Connectors SMA JACK SMT 50OHM</t>
  </si>
  <si>
    <t>142-0761-801</t>
  </si>
  <si>
    <t>Cinch Connectivity Solutions</t>
  </si>
  <si>
    <t>SMA</t>
  </si>
  <si>
    <t>FREQ</t>
  </si>
  <si>
    <t>18 GHz</t>
  </si>
  <si>
    <t>RF_Connector</t>
  </si>
  <si>
    <t>520L103KT16T</t>
  </si>
  <si>
    <t>ATC / KYOCERA AVX</t>
  </si>
  <si>
    <t>0.01uF</t>
  </si>
  <si>
    <t>Ceramic Chip Capacitor 0402 X7R 10nF ±10% 16V</t>
  </si>
  <si>
    <t>GRM1555C1H102JA01</t>
  </si>
  <si>
    <t>Ceramic Chip Capacitor 0402 NP0 1000pF ±5% 50V</t>
  </si>
  <si>
    <t>1000pF</t>
  </si>
  <si>
    <t>GRM155R71C104KA88</t>
  </si>
  <si>
    <t xml:space="preserve">Ceramic Chip Capacitor 0402 X7R 0.1µF ±10% 16V	</t>
  </si>
  <si>
    <t>GRM21BR61H106KE43</t>
  </si>
  <si>
    <t>Ceramic Chip Capacitor 0805 X5R 10µF ±10% 50V</t>
  </si>
  <si>
    <t>0805_RF</t>
  </si>
  <si>
    <t>GRM155R61H104KE19</t>
  </si>
  <si>
    <t>Ceramic Chip Capacitor 0402 X5R 100nF ±10% 50V</t>
  </si>
  <si>
    <t>GRM1555C1H103JE01</t>
  </si>
  <si>
    <t>10nF ±5% 50V C0G 0402 Multilayer Ceramic Capacitor</t>
  </si>
  <si>
    <t>100pF ±2% 50V C0G 0402 Multilayer Ceramic Capacitor</t>
  </si>
  <si>
    <t>GRM1555C1H101GA01</t>
  </si>
  <si>
    <t>100pF</t>
  </si>
  <si>
    <t>53398-0471</t>
  </si>
  <si>
    <t>Molex</t>
  </si>
  <si>
    <t>Headers &amp; Wire Housings</t>
  </si>
  <si>
    <t>1.25mm Pitch PicoBlade PCB Header, Single Row, Vertical, Surface Mount, Tin Plating, 4 Circuits</t>
  </si>
  <si>
    <t>87832-1420</t>
  </si>
  <si>
    <t>Connector Header Surface Mount 14 position 0.079 _2.00mm_</t>
  </si>
  <si>
    <t>BLM15GG471SN1D</t>
  </si>
  <si>
    <t>470Ω ±25% 200mA 0402 Ferrite Bead for High-Frequency Noise Suppression</t>
  </si>
  <si>
    <t>Murata Manufacturing</t>
  </si>
  <si>
    <t>470Ω</t>
  </si>
  <si>
    <t>Ferrite</t>
  </si>
  <si>
    <t>T491A106K010AT</t>
  </si>
  <si>
    <t>10µF ±10% 10V Tantalum SMD Capacitor, 1206 Package, ESR 3.8Ω, Operating Temperature -55°C to +125°C</t>
  </si>
  <si>
    <t>KEMET</t>
  </si>
  <si>
    <t>10uF</t>
  </si>
  <si>
    <t xml:space="preserve">Tantalum </t>
  </si>
  <si>
    <t>CAP-ELECTROLYTIC</t>
  </si>
  <si>
    <t>LM2664M6X</t>
  </si>
  <si>
    <t>Switching Voltage Regulators Switched Capacitor Vtg Cnvtr</t>
  </si>
  <si>
    <t>Analog Devices</t>
  </si>
  <si>
    <t>Vin</t>
  </si>
  <si>
    <t>Vout</t>
  </si>
  <si>
    <t>1.8 to 5.5</t>
  </si>
  <si>
    <t>-5.5 to -1.8</t>
  </si>
  <si>
    <t>LM2664</t>
  </si>
  <si>
    <t>SOT23-6</t>
  </si>
  <si>
    <t>LP5912-5.0DRVR</t>
  </si>
  <si>
    <t>LDO Voltage Regulators 500-mA, low-noise, low-IQ, low-dropout voltage regulator with reverse current protection 6-WSON -40 to 125</t>
  </si>
  <si>
    <t>Texas Instruments</t>
  </si>
  <si>
    <t>WSON-6</t>
  </si>
  <si>
    <t>1.6 to 6.5</t>
  </si>
  <si>
    <t>LP5912</t>
  </si>
  <si>
    <t>LT1764</t>
  </si>
  <si>
    <t>2.7 to 20</t>
  </si>
  <si>
    <t>1.21 to 20</t>
  </si>
  <si>
    <t>LT1764EFE#PBF</t>
  </si>
  <si>
    <t>LDO Voltage Regulators 3A, Fast Transient Response, Low Noise, LDO Regulators</t>
  </si>
  <si>
    <t>TSSOP-16</t>
  </si>
  <si>
    <t>Switching Voltage Regulators 3A STEP-DOWN </t>
  </si>
  <si>
    <t>TO-263-5</t>
  </si>
  <si>
    <t>4 to 40</t>
  </si>
  <si>
    <t>1.21 to 60</t>
  </si>
  <si>
    <t>LM2585</t>
  </si>
  <si>
    <t>TPS54332DDAR</t>
  </si>
  <si>
    <t>28-V, 3.5-A non-synchronous
buck converter that integrates a low-RDS(on) highside MOSFET</t>
  </si>
  <si>
    <t>3.5 to 28</t>
  </si>
  <si>
    <t>0.8 to 28</t>
  </si>
  <si>
    <t>TPS54332</t>
  </si>
  <si>
    <t>LT1965EDD#PBF</t>
  </si>
  <si>
    <t>series are lownoise, lowdropout linear regulators. The devices supply 1.1A of output current with a 310mVtypicaldropoutvoltage</t>
  </si>
  <si>
    <t>DFN-8</t>
  </si>
  <si>
    <t>3.5 to 20</t>
  </si>
  <si>
    <t>1.8 to 20</t>
  </si>
  <si>
    <t>LT1965</t>
  </si>
  <si>
    <t>RC0402FR-0756KL</t>
  </si>
  <si>
    <t>56kΩ ±1% 0.063W 0402 Thick Film Chip Resistor</t>
  </si>
  <si>
    <t>Yageo</t>
  </si>
  <si>
    <t>RES</t>
  </si>
  <si>
    <t>56K</t>
  </si>
  <si>
    <t>RC0402FR-0710KL</t>
  </si>
  <si>
    <t>10kΩ ±1% 0.063W 0402 Thick Film Chip Resistor</t>
  </si>
  <si>
    <t>10K</t>
  </si>
  <si>
    <t>RC0402FR-070RL</t>
  </si>
  <si>
    <t>0Ω ±1% 0.063W 0402 Thick Film Chip Resistor</t>
  </si>
  <si>
    <t>0R</t>
  </si>
  <si>
    <t>RC0402FR-073KL</t>
  </si>
  <si>
    <t>3kΩ ±1% 0.063W 0402 Thick Film Chip Resistor</t>
  </si>
  <si>
    <t>3K</t>
  </si>
  <si>
    <t>31K6</t>
  </si>
  <si>
    <t>RC0402FR-071K5L</t>
  </si>
  <si>
    <t>1K5</t>
  </si>
  <si>
    <t>RC0402FR-0747K5L</t>
  </si>
  <si>
    <t>47K5</t>
  </si>
  <si>
    <t xml:space="preserve">LM2585S-ADJ/NOPB </t>
  </si>
  <si>
    <t>74477020</t>
  </si>
  <si>
    <t>100µH ±20% 2.2A 220mΩ Shielded SMD Power Inductor</t>
  </si>
  <si>
    <t>Würth Elektronik</t>
  </si>
  <si>
    <t>C2220C474J5GACTU</t>
  </si>
  <si>
    <t>0.47uF</t>
  </si>
  <si>
    <t>0.47µF ±5% 50V C0G 2220 Multilayer Ceramic Capacitor</t>
  </si>
  <si>
    <t>GRM155R61C474ME01D</t>
  </si>
  <si>
    <t>0.47µF ±20% 16V X5R 0402 Multilayer Ceramic Capacitor</t>
  </si>
  <si>
    <t>RC0402FR-0710K7L</t>
  </si>
  <si>
    <t>10K7</t>
  </si>
  <si>
    <t>RC0402FR-0710K2L</t>
  </si>
  <si>
    <t>10K2</t>
  </si>
  <si>
    <t>RC0402FR-071K05L</t>
  </si>
  <si>
    <t>1K05</t>
  </si>
  <si>
    <t>GRM155R61C104KA88D</t>
  </si>
  <si>
    <t>0.1µF ±10% 16V X5R 0402 Multilayer Ceramic Capacitor</t>
  </si>
  <si>
    <t>0.1uF</t>
  </si>
  <si>
    <t>GRM155R71H152JA01D</t>
  </si>
  <si>
    <t>1.5nF ±5% 50V X7R 0402 Multilayer Ceramic Capacitor</t>
  </si>
  <si>
    <t>GRM155R71H822KA88D</t>
  </si>
  <si>
    <t>8.2nF ±10% 50V X7R 0402 Multilayer Ceramic Capacitor</t>
  </si>
  <si>
    <t>GRM1555C1H100JA01D</t>
  </si>
  <si>
    <t>10pF ±5% 50V C0G 0402 Multilayer Ceramic Capacitor</t>
  </si>
  <si>
    <t>10pF</t>
  </si>
  <si>
    <t>10µH ±20% 4A 76.9mΩ Shielded SMD Inductor</t>
  </si>
  <si>
    <t>Vishay Dale</t>
  </si>
  <si>
    <t>2525</t>
  </si>
  <si>
    <t>IHLP2525CZER100M5A</t>
  </si>
  <si>
    <t>SS24FL</t>
  </si>
  <si>
    <t>40V 2A Schottky Barrier Rectifier, SOD-123F Package</t>
  </si>
  <si>
    <t>Onsemi</t>
  </si>
  <si>
    <t>SOD-123F</t>
  </si>
  <si>
    <t>Diode</t>
  </si>
  <si>
    <t>MBRA160T3G</t>
  </si>
  <si>
    <t>60V 1A Schottky Barrier Rectifier, SMA Package</t>
  </si>
  <si>
    <t>DO-214AC</t>
  </si>
  <si>
    <t>UUD1V680MCL1GS</t>
  </si>
  <si>
    <t>68µF ±20% 35V SMD Aluminum Electrolytic Capacitor</t>
  </si>
  <si>
    <t>6.3x7.7</t>
  </si>
  <si>
    <t>Aluminum</t>
  </si>
  <si>
    <t>UUD1H221MNL1GS</t>
  </si>
  <si>
    <t>220µF ±20% 50V SMD Aluminum Electrolytic Capacitor</t>
  </si>
  <si>
    <t>Nichicon</t>
  </si>
  <si>
    <t>10x10</t>
  </si>
  <si>
    <t>BLM18PG471SN1D</t>
  </si>
  <si>
    <t>470Ω @ 100MHz 1A 200mΩ Power Line Ferrite Bead 0603</t>
  </si>
  <si>
    <t>RC0402FR-0717K8L</t>
  </si>
  <si>
    <t>17K8</t>
  </si>
  <si>
    <t>Coilcraft</t>
  </si>
  <si>
    <t>0805LS-471XJEC</t>
  </si>
  <si>
    <t>470nH ±5% 720mA 310mΩ Unshielded Wirewound Inductor 0805</t>
  </si>
  <si>
    <t>0402FL-181XJRW</t>
  </si>
  <si>
    <t>180nH ±5% 690mA 200mΩ Unshielded Ferrite Core Chip Inductor 0402</t>
  </si>
  <si>
    <t>QFN40-6x6</t>
  </si>
  <si>
    <t>HSOIC-8</t>
  </si>
  <si>
    <t>DFN8-3x3</t>
  </si>
  <si>
    <t>DFN6-4x4.5</t>
  </si>
  <si>
    <t>DFN-6</t>
  </si>
  <si>
    <t>RC0402FR-0731K6L</t>
  </si>
  <si>
    <t>1280</t>
  </si>
  <si>
    <t>WE-PD_1280</t>
  </si>
  <si>
    <t>85305-0232</t>
  </si>
  <si>
    <t>50 Ohms, SMP Surface Mount Plug</t>
  </si>
  <si>
    <t>SMP</t>
  </si>
  <si>
    <t>MOLEX_87832-1420</t>
  </si>
  <si>
    <t>MOLEX_53398-0471</t>
  </si>
  <si>
    <t>QFN-32</t>
  </si>
  <si>
    <t>QFN32-5x5</t>
  </si>
  <si>
    <t>MOLEX_85305-0232</t>
  </si>
  <si>
    <t>Реперная точка для автоматического монтажа</t>
  </si>
  <si>
    <t>REPER</t>
  </si>
  <si>
    <t>1500pF</t>
  </si>
  <si>
    <t>8200pF</t>
  </si>
  <si>
    <t>68uF</t>
  </si>
  <si>
    <t>220uF</t>
  </si>
  <si>
    <t>C-UUD1V680MCL1GS</t>
  </si>
  <si>
    <t>C-UUD1H221MNL1GS</t>
  </si>
  <si>
    <t>C-A-10-10uF K</t>
  </si>
  <si>
    <t>Type_A_Polar</t>
  </si>
  <si>
    <t>LTC5548</t>
  </si>
  <si>
    <t>2GHz to 14GHz Microwave Mixer with Wideband DC–6GHz IF</t>
  </si>
  <si>
    <t>QFN-12</t>
  </si>
  <si>
    <t>QFN12-3.5x2.5</t>
  </si>
  <si>
    <t>RC0402FR-0724R9L</t>
  </si>
  <si>
    <t>24R9</t>
  </si>
  <si>
    <t>GJM1555C1HR15RB12D</t>
  </si>
  <si>
    <t>0.15pF ±0.03pF 50V C0G/NP0 0402 Multilayer Ceramic Capacitor</t>
  </si>
  <si>
    <t>0.15pF</t>
  </si>
  <si>
    <t>TRHJ-2041</t>
  </si>
  <si>
    <t>8-channel transmit beamforming phased array silica-based (CMOS) chip operating from 13.7GHz to 14.5GHz.</t>
  </si>
  <si>
    <t>XPHASED</t>
  </si>
  <si>
    <t>WLCSP-84</t>
  </si>
  <si>
    <t>ADF5356BCPZ</t>
  </si>
  <si>
    <t>Microwave Wideband Synthesizer with Integrated VCO</t>
  </si>
  <si>
    <t>LFCSP-32</t>
  </si>
  <si>
    <t>ADF5356</t>
  </si>
  <si>
    <t>LFCG-2000+</t>
  </si>
  <si>
    <t>LTCC low pass filter with a passband from DC to 2000 MHz</t>
  </si>
  <si>
    <t>Mini-Circuits</t>
  </si>
  <si>
    <t>GE0805C-2</t>
  </si>
  <si>
    <t>LPF_8</t>
  </si>
  <si>
    <t>SMA-KYHDC</t>
  </si>
  <si>
    <t>50 Ohms, SMA Surface Mount Plug</t>
  </si>
  <si>
    <t>Амитрон</t>
  </si>
  <si>
    <t>CP</t>
  </si>
  <si>
    <t>Контактная площадка</t>
  </si>
  <si>
    <t>LFCN-1500D+</t>
  </si>
  <si>
    <t>LPF_4</t>
  </si>
  <si>
    <t>FV1206</t>
  </si>
  <si>
    <t>CWNPA-2735-P40-M</t>
  </si>
  <si>
    <t>The GaN MMIC high-power amplifier device, fabricated by GaN power MMIC technology, the operation frequency range is 2.7GHz to 3.5GHz, typical power gain is 22.5dB, the saturated output power is 10Watt,</t>
  </si>
  <si>
    <t>CWNPA_2735_P40_M</t>
  </si>
  <si>
    <t>ICValley</t>
  </si>
  <si>
    <t>TSY-83LN+</t>
  </si>
  <si>
    <t>Mini-Circuits’ TSY-83LN+ is a GaAs pHEMT based wide band, bypass mode capable, low noise MMIC amplifier with a combination of high IP3 and flat gain</t>
  </si>
  <si>
    <t>DQ1225</t>
  </si>
  <si>
    <t>QFN12-3.2x3.2</t>
  </si>
  <si>
    <t>TPS82140SILT</t>
  </si>
  <si>
    <t>17-V Input 2-A Step-Down Converter MicroSiP™ Module with Integrated Inductor</t>
  </si>
  <si>
    <t>µSiL-8</t>
  </si>
  <si>
    <t>3 to 17</t>
  </si>
  <si>
    <t>-17 to -3</t>
  </si>
  <si>
    <t>RC0805FR-070RL</t>
  </si>
  <si>
    <t>0Ω ±1% 0.125W 0805 Thick Film Chip Resistor</t>
  </si>
  <si>
    <t>RC0402FR-071KL</t>
  </si>
  <si>
    <t>1kΩ ±1% 0.063W 0402 Thick Film Chip Resistor</t>
  </si>
  <si>
    <t>1K</t>
  </si>
  <si>
    <t>Si4101DY</t>
  </si>
  <si>
    <t>TrenchFET® Power MOSFET</t>
  </si>
  <si>
    <t>Vishay</t>
  </si>
  <si>
    <t>P-Channel MOSFET</t>
  </si>
  <si>
    <t>BC817</t>
  </si>
  <si>
    <t>NPN Epitaxial Silicon Transistor</t>
  </si>
  <si>
    <t>On Semiconductor</t>
  </si>
  <si>
    <t xml:space="preserve">N-Channel BJT </t>
  </si>
  <si>
    <t>SI4101DY-T1-GE3</t>
  </si>
  <si>
    <t>BZX84C13</t>
  </si>
  <si>
    <t>SURFACE MOUNT 350mW SILICON ZENER DIODE</t>
  </si>
  <si>
    <t>On Semi</t>
  </si>
  <si>
    <t>SOT-23-3</t>
  </si>
  <si>
    <t>Diode-sot23-3</t>
  </si>
  <si>
    <t>SO-8</t>
  </si>
  <si>
    <t>TB006-508-02BE</t>
  </si>
  <si>
    <t>2 Position Wire to Board Terminal Block Horizontal with Board 0.200" (5.08mm) Through Hole</t>
  </si>
  <si>
    <t>Through Hole</t>
  </si>
  <si>
    <t>CUI_TB006 -508-02BE</t>
  </si>
  <si>
    <t>uSIL-8</t>
  </si>
  <si>
    <t>TSY-173LN+</t>
  </si>
  <si>
    <t>Low noise MMIC Amplifier with shutdown feature</t>
  </si>
  <si>
    <t>MC1630-1</t>
  </si>
  <si>
    <t>MC1630</t>
  </si>
  <si>
    <t>YAT-10A+</t>
  </si>
  <si>
    <t>Fixed value, absorptive MMIC attenuator</t>
  </si>
  <si>
    <t>YAT-XA+</t>
  </si>
  <si>
    <t>YAT-6A+</t>
  </si>
  <si>
    <t>RC0402FR-0750RL</t>
  </si>
  <si>
    <t>50Ω ±1% 0.063W 0402 Thick Film Chip Resistor</t>
  </si>
  <si>
    <t>RC0402FR-0733RL</t>
  </si>
  <si>
    <t>33Ω ±1% 0.063W 0402 Thick Film Chip Resistor</t>
  </si>
  <si>
    <t>50R</t>
  </si>
  <si>
    <t>33R</t>
  </si>
  <si>
    <t>RC0402FR-0718R2L</t>
  </si>
  <si>
    <t>18R2</t>
  </si>
  <si>
    <t>RC0402FR-0768R1L</t>
  </si>
  <si>
    <t>68R1</t>
  </si>
  <si>
    <t>GRM155R61E105MA12D</t>
  </si>
  <si>
    <t>1uF ±20% 25V X5R 0402 Multilayer Ceramic Capacitor</t>
  </si>
  <si>
    <t>1uF</t>
  </si>
  <si>
    <t>LMX2594RHA</t>
  </si>
  <si>
    <t>VQFN-40</t>
  </si>
  <si>
    <t>GCG155R71H182KA01D</t>
  </si>
  <si>
    <t>1800pF</t>
  </si>
  <si>
    <t>1800pF±10% 50V X7R 0402 Multilayer Ceramic Capacitor</t>
  </si>
  <si>
    <t>GCM155R71C683MA55D</t>
  </si>
  <si>
    <t>0.068uF</t>
  </si>
  <si>
    <t>GRM1555C1H391JA01D</t>
  </si>
  <si>
    <t>0.068uF±10% 50V X7R 0402 Multilayer Ceramic Capacitor</t>
  </si>
  <si>
    <t>390pF±5% 50V C0G Multilayer Ceramic Capacitor</t>
  </si>
  <si>
    <t>390pF</t>
  </si>
  <si>
    <t>ECS-LVDS33-1000-BN</t>
  </si>
  <si>
    <t>SMD LVDS oscillators</t>
  </si>
  <si>
    <t>ESC</t>
  </si>
  <si>
    <t>7050</t>
  </si>
  <si>
    <t xml:space="preserve">   </t>
  </si>
  <si>
    <t>ECS-LVDS</t>
  </si>
  <si>
    <t>RC0402FR-07100RL</t>
  </si>
  <si>
    <t>100Ω ±1% 0.063W 0402 Thick Film Chip Resistor</t>
  </si>
  <si>
    <t>100R</t>
  </si>
  <si>
    <t>LSM6DS3TR-C</t>
  </si>
  <si>
    <t>Always-on 3D accelerometer and 3D gyroscope</t>
  </si>
  <si>
    <t>ST</t>
  </si>
  <si>
    <t>LGA-14L</t>
  </si>
  <si>
    <t xml:space="preserve"> </t>
  </si>
  <si>
    <t>LGA14-2.5X3MM</t>
  </si>
  <si>
    <t>VQFN40-6x6</t>
  </si>
  <si>
    <t>0402FL-360XJRW</t>
  </si>
  <si>
    <t>36nH ±5% 690mA 200mΩ Unshielded Ferrite Core Chip Inductor 0402</t>
  </si>
  <si>
    <t>36nH</t>
  </si>
  <si>
    <t>180nH</t>
  </si>
  <si>
    <t>470nH</t>
  </si>
  <si>
    <t>0402FL-200XJRW</t>
  </si>
  <si>
    <t>20nH ±5% 690mA 200mΩ Unshielded Ferrite Core Chip Inductor 0402</t>
  </si>
  <si>
    <t>20nH</t>
  </si>
  <si>
    <t>RC0402FR-07220KL</t>
  </si>
  <si>
    <t>220kΩ±1% 0.063W 0402 Thick Film Chip Resistor</t>
  </si>
  <si>
    <t>RC0402FR-072KL</t>
  </si>
  <si>
    <t>2kΩ ±1% 0.063W 0402 Thick Film Chip Resistor</t>
  </si>
  <si>
    <t>2K</t>
  </si>
  <si>
    <t>RC0402FR-07100KL</t>
  </si>
  <si>
    <t>100K</t>
  </si>
  <si>
    <t>S2B-ZR-SM4A-TF</t>
  </si>
  <si>
    <t>s very small with a mounting height of 5.6 mm and a thickness of only 3.5 mm</t>
  </si>
  <si>
    <t>ZH CONNECTOR</t>
  </si>
  <si>
    <t>JST_S2B-ZR-SM4A-TF</t>
  </si>
  <si>
    <t>single 2-input positive-AND gate is designed for 1.65-V to 5.5-V VCC operation</t>
  </si>
  <si>
    <t>SC70</t>
  </si>
  <si>
    <t>SN74LVC1G08DCKRE4</t>
  </si>
  <si>
    <t>LM27762DSS</t>
  </si>
  <si>
    <t>Low-Noise Positive and Negative Output Integrated Charge Pump Plus LDO</t>
  </si>
  <si>
    <t>WSON-12</t>
  </si>
  <si>
    <t>1.5 to 5.5</t>
  </si>
  <si>
    <t>-5.5 to -1.5</t>
  </si>
  <si>
    <t>RC0402FR-07160KL</t>
  </si>
  <si>
    <t>100kΩ ±1% 0.063W 0402 Thick Film Chip Resistor</t>
  </si>
  <si>
    <t>160kΩ ±1% 0.063W 0402 Thick Film Chip Resistor</t>
  </si>
  <si>
    <t>160K</t>
  </si>
  <si>
    <t>IRLML2060TRPBF</t>
  </si>
  <si>
    <t>Power MOSFET</t>
  </si>
  <si>
    <t>Infineon Technologies</t>
  </si>
  <si>
    <t>N-Channel MOSFET</t>
  </si>
  <si>
    <t>GRJ155R60J106ME11</t>
  </si>
  <si>
    <t>Ceramic Chip Capacitor 0402 X5R 10µF ±10% 6V3</t>
  </si>
  <si>
    <t>6.3</t>
  </si>
  <si>
    <t>SMIQ-6243H+</t>
  </si>
  <si>
    <t>+ is a passive, wideband in phase/quadrature (I/Q) mixer fabricated using GaAs HBT technology</t>
  </si>
  <si>
    <t>DG1847</t>
  </si>
  <si>
    <t>EP2C+</t>
  </si>
  <si>
    <t>MMIC splitter/combiner designed for wideband operation from 1800 to 12500 MHz</t>
  </si>
  <si>
    <t>DG1677-2</t>
  </si>
  <si>
    <t>EP2RCW+</t>
  </si>
  <si>
    <t>a MMIC 2-way 0° splitter/combiner designed for wideband operation from DC to 8.0 GHz</t>
  </si>
  <si>
    <t xml:space="preserve">LFCW-8700+ </t>
  </si>
  <si>
    <t>an LTCC low pass filter with a passband from DC to 8.7 GHz</t>
  </si>
  <si>
    <t>JC0603C-1</t>
  </si>
  <si>
    <t xml:space="preserve">3350BP39A0500001E </t>
  </si>
  <si>
    <t>3.35 GHz Band Pass Filter</t>
  </si>
  <si>
    <t>Johanson Technology</t>
  </si>
  <si>
    <t>3350BP39A0500</t>
  </si>
  <si>
    <t>Power Splitter/Combiner</t>
  </si>
  <si>
    <t>FV1206-1</t>
  </si>
  <si>
    <t>QCN-45+</t>
  </si>
  <si>
    <t>SKY13575-639LF</t>
  </si>
  <si>
    <t>SP4T 0.1-6 GHz</t>
  </si>
  <si>
    <t>SKYWORKS</t>
  </si>
  <si>
    <t>QFN-14</t>
  </si>
  <si>
    <t>SI53340-B-GM</t>
  </si>
  <si>
    <t>Low-Jitter LVDS Fanout Clock Buffers</t>
  </si>
  <si>
    <t>Skyworks</t>
  </si>
  <si>
    <t>QFN-16</t>
  </si>
  <si>
    <t>./symbols/IC/Analog/Clock.SchLib</t>
  </si>
  <si>
    <t>ADP5054ACPZ</t>
  </si>
  <si>
    <t>LFCSP-48</t>
  </si>
  <si>
    <t>4.5 to 15.5</t>
  </si>
  <si>
    <t>0.8 to 15</t>
  </si>
  <si>
    <t>CM105X5R226M16AT</t>
  </si>
  <si>
    <t>22uF ± 20% 16V X5R 0603 Multilayer Ceramic Capacitor</t>
  </si>
  <si>
    <t>22uF</t>
  </si>
  <si>
    <t>GRM155R71H472KA01D</t>
  </si>
  <si>
    <t>4,7nF ±10% 50V X7R 0402 Multilayer Ceramic Capacitor</t>
  </si>
  <si>
    <t>4700pF</t>
  </si>
  <si>
    <t>GRM155R71H222KA01D</t>
  </si>
  <si>
    <t>2,2nF ±10% 50V X7R 0402 Multilayer Ceramic Capacitor</t>
  </si>
  <si>
    <t>2200pF</t>
  </si>
  <si>
    <t>RC0402FR-0715KL</t>
  </si>
  <si>
    <t>15K</t>
  </si>
  <si>
    <t>PA5001.102NLT</t>
  </si>
  <si>
    <t>Power Inductors - SMD 1.0uH 20% AEC-Q200 16.8A DCR=4.6mOhm</t>
  </si>
  <si>
    <t>Pulse Electronics</t>
  </si>
  <si>
    <t>4.3x4.3</t>
  </si>
  <si>
    <t>RC0402FR-07200KL</t>
  </si>
  <si>
    <t>RC0402FR-078K66L</t>
  </si>
  <si>
    <t>8K66</t>
  </si>
  <si>
    <t>Si7232DN</t>
  </si>
  <si>
    <t>Dual N-Channel 20 V (D-S) MOSFET</t>
  </si>
  <si>
    <t>ADP1763ACPZ</t>
  </si>
  <si>
    <t>LFCSP-16</t>
  </si>
  <si>
    <t>1.1 to 1.98</t>
  </si>
  <si>
    <t>0.9 to 1.5</t>
  </si>
  <si>
    <t>ADM7172ACPZ</t>
  </si>
  <si>
    <t>LFCSP-8</t>
  </si>
  <si>
    <t>a low noise, low dropout (LDO) linear regulator</t>
  </si>
  <si>
    <t>four high performance buck regulators in a 48-lead LFCSP package</t>
  </si>
  <si>
    <t>2.3 to 6.5</t>
  </si>
  <si>
    <t>1.2 to 6</t>
  </si>
  <si>
    <t>GRM188R60J476ME01J</t>
  </si>
  <si>
    <t>47uF ± 20% 6,3V X5R 0603 Multilayer Ceramic Capacitor</t>
  </si>
  <si>
    <t>47uF</t>
  </si>
  <si>
    <t>ADRV9026BBCZ</t>
  </si>
  <si>
    <t>Integrated, Quad RF Transceiver with Observation Path</t>
  </si>
  <si>
    <t>BC-289-6</t>
  </si>
  <si>
    <t>TCM1-63AX+</t>
  </si>
  <si>
    <t>RF Transformer Ultra wide bandwidth 10 to 6000 MHz</t>
  </si>
  <si>
    <t>DB1627</t>
  </si>
  <si>
    <t>SOLC-120-02-F-Q-A-K-TR</t>
  </si>
  <si>
    <t>Board to Board &amp; Mezzanine Connectors .050" FOURRAY(TM) Quad Row Tiger Buy(TM) Socket Strip</t>
  </si>
  <si>
    <t>Samtec</t>
  </si>
  <si>
    <t>Board to Board &amp; Mezzanine Connectors</t>
  </si>
  <si>
    <t>LMK04828BISQ</t>
  </si>
  <si>
    <t>LMK0482x Ultra Low-Noise JESD204B Compliant Clock Jitter Cleaner with Dual Loop PLLs</t>
  </si>
  <si>
    <t>QFN-64</t>
  </si>
  <si>
    <t>3.3V</t>
  </si>
  <si>
    <t>CVHD-950-100.000</t>
  </si>
  <si>
    <t>100 MHz VCXO CMOS Oscillator 3.3V 4-SMD, No Lead</t>
  </si>
  <si>
    <t>Crystek Corporation</t>
  </si>
  <si>
    <t>ADM7150ACPZ-3.3</t>
  </si>
  <si>
    <t>linear regulator that operates from 4.5 V to 16 V and provides up to 800 mA of output current</t>
  </si>
  <si>
    <t>4.5 to 16</t>
  </si>
  <si>
    <t>3.3</t>
  </si>
  <si>
    <t>SGM2208</t>
  </si>
  <si>
    <t>low noise, adjustable output and low dropout voltage linear regulator</t>
  </si>
  <si>
    <t>SGM2208XTDF12G/TR</t>
  </si>
  <si>
    <t>SGMICRO</t>
  </si>
  <si>
    <t>TDFN-3×3-12L</t>
  </si>
  <si>
    <t>GRM155R71H332KA01D</t>
  </si>
  <si>
    <t>3300pF</t>
  </si>
  <si>
    <t>GRM1555C1H390JA01D</t>
  </si>
  <si>
    <t>3,3nF ±10% 50V X7R 0402 Multilayer Ceramic Capacitor</t>
  </si>
  <si>
    <t>39pF ±5% 50V C0G 0402 Multilayer Ceramic Capacitor</t>
  </si>
  <si>
    <t>39pF</t>
  </si>
  <si>
    <t>GRM155R61C224ME01D</t>
  </si>
  <si>
    <t>0.22uF</t>
  </si>
  <si>
    <t>RC0402FR-073K9L</t>
  </si>
  <si>
    <t>3K9</t>
  </si>
  <si>
    <t>560R</t>
  </si>
  <si>
    <t>RC0402FR-07560RL</t>
  </si>
  <si>
    <t>220K</t>
  </si>
  <si>
    <t>200K</t>
  </si>
  <si>
    <t>RC0402FR-0766K5L</t>
  </si>
  <si>
    <t>66K5</t>
  </si>
  <si>
    <t>GRM1555C1H6R0WA01D</t>
  </si>
  <si>
    <t>6pF ±0.05pF 50V C0G 0402 Multilayer Ceramic Capacitor</t>
  </si>
  <si>
    <t>6pF</t>
  </si>
  <si>
    <t>±0,1pF</t>
  </si>
  <si>
    <t>SMP-MSLD-PCT-6</t>
  </si>
  <si>
    <t>SMP Right Angle PCB Limited Detent Jack Through Hole 50 Ohm</t>
  </si>
  <si>
    <t>Amphenol</t>
  </si>
  <si>
    <t>12 GHz</t>
  </si>
  <si>
    <t>SMP Straight PCB Limited Detent Jack End Launch 50 Ohm</t>
  </si>
  <si>
    <t>26.5 GHz</t>
  </si>
  <si>
    <t>SMP-MSSB-PCS</t>
  </si>
  <si>
    <t>ADM7154ACPZ-1.8</t>
  </si>
  <si>
    <t>ADM7154ACPZ-1.8-R7</t>
  </si>
  <si>
    <t>2.3 to 5.5</t>
  </si>
  <si>
    <t>1.8</t>
  </si>
  <si>
    <t>47352-1001</t>
  </si>
  <si>
    <t>1.10mm Pitch microSD Card Connector, Push-Push Type, with VSS (Supply Voltage Ground) Detect Switch, Lead-Free</t>
  </si>
  <si>
    <t>Memory / SIM Card Connectors</t>
  </si>
  <si>
    <t>TXS02612RTWR</t>
  </si>
  <si>
    <t>SDIO PORT EXPANDER WITH VOLTAGE-LEVEL TRANSLATION</t>
  </si>
  <si>
    <t>QFN-24</t>
  </si>
  <si>
    <t>./symbols/IC/DIGITAL/Digital.SchLib</t>
  </si>
  <si>
    <t>TXS02612</t>
  </si>
  <si>
    <t>LT8612EUDE</t>
  </si>
  <si>
    <t>compact, high efficiency, high speed synchronous monolithic step-down switching regulator</t>
  </si>
  <si>
    <t>QFN-28</t>
  </si>
  <si>
    <t>3.4 to 42</t>
  </si>
  <si>
    <t>BNX025H01L</t>
  </si>
  <si>
    <t>EMI suppression filter supporting large current, wide frequency.</t>
  </si>
  <si>
    <t>BNX02xH01L</t>
  </si>
  <si>
    <t>NFM41PC</t>
  </si>
  <si>
    <t>NFM41PC155B1E3</t>
  </si>
  <si>
    <t>Large Current 3 Terminals Low ESL Chip Multilayer Ceramic Capacitors (EMI Filter) for General Purpose</t>
  </si>
  <si>
    <t>PJ-002B</t>
  </si>
  <si>
    <t>CUI Inc</t>
  </si>
  <si>
    <t>24 VDC 2.5 A Right Angle Through Hole 2 Conductors 3 Contacts Male Power Jack</t>
  </si>
  <si>
    <t>Jack</t>
  </si>
  <si>
    <t>GRM31CR60J107KE9L</t>
  </si>
  <si>
    <t>100uF ± 10% 6V3 X5R 1206 Multilayer Ceramic Capacitor</t>
  </si>
  <si>
    <t>100uF</t>
  </si>
  <si>
    <t>1206</t>
  </si>
  <si>
    <t>GRM32ER71E226KE15L</t>
  </si>
  <si>
    <t>22uF ± 10% 25V X7R 1210 Multilayer Ceramic Capacitor</t>
  </si>
  <si>
    <t>66.5kΩ±1% 0.063W 0402 Thick Film Chip Resistor</t>
  </si>
  <si>
    <t>0618CDMCCDS-1R5MC</t>
  </si>
  <si>
    <t>FIXED IND 1.5UH 7A 24 MOHM SMD</t>
  </si>
  <si>
    <t>Sumida America Components Inc.</t>
  </si>
  <si>
    <t>7.0x6.6</t>
  </si>
  <si>
    <t>1.5 uH</t>
  </si>
  <si>
    <t>RC0402FR-071ML</t>
  </si>
  <si>
    <t>1MΩ±1% 0.063W 0402 Thick Film Chip Resistor</t>
  </si>
  <si>
    <t>1M</t>
  </si>
  <si>
    <t>RC0402FR-07243KL</t>
  </si>
  <si>
    <t>243kΩ±1% 0.063W 0402 Thick Film Chip Resistor</t>
  </si>
  <si>
    <t>243K</t>
  </si>
  <si>
    <t>RC0402FR-07412KL</t>
  </si>
  <si>
    <t>412kΩ±1% 0.063W 0402 Thick Film Chip Resistor</t>
  </si>
  <si>
    <t>412K</t>
  </si>
  <si>
    <t>866kΩ±1% 0.063W 0402 Thick Film Chip Resistor</t>
  </si>
  <si>
    <t>866K</t>
  </si>
  <si>
    <t>RC0402FR-07866KL</t>
  </si>
  <si>
    <t>GRM1555C1H4R7WA01D</t>
  </si>
  <si>
    <t>4.7pF ±0.05pF 50V C0G 0402 Multilayer Ceramic Capacitor</t>
  </si>
  <si>
    <t>4.7pF</t>
  </si>
  <si>
    <t>SN74AVC4T245RSVR</t>
  </si>
  <si>
    <t>Four-bit dual-supply bus transceiver with configurable voltage-level shifting</t>
  </si>
  <si>
    <t>UQFN-16</t>
  </si>
  <si>
    <t>SN74AVC2T245 Dual-Bit Dual-Supply Bus Transceiver with Configurable LevelShifting / Voltage Translation and Tri-State Outputs</t>
  </si>
  <si>
    <t>SN74AVC2T245RSW</t>
  </si>
  <si>
    <t>UQFN-10</t>
  </si>
  <si>
    <t>FT4232HL</t>
  </si>
  <si>
    <t>USB Hi-Speed to Quad Channel Serial UART/JTAG/SPI/I2C IC, LQFP-64</t>
  </si>
  <si>
    <t>TXS0108E</t>
  </si>
  <si>
    <t>8-Bit Bi-Directional, Level-Shifting, Voltage Translator for Open-Drain and Push-Pull Applications</t>
  </si>
  <si>
    <t>TXS0108EPW</t>
  </si>
  <si>
    <t>TSSOP-20</t>
  </si>
  <si>
    <t>LQFP-64</t>
  </si>
  <si>
    <t>15kΩ ±1% 0.063W 0402 Thick Film Chip Resistor</t>
  </si>
  <si>
    <t>RC0402FR-0712KL</t>
  </si>
  <si>
    <t>12kΩ ±1% 0.063W 0402 Thick Film Chip Resistor</t>
  </si>
  <si>
    <t>12K</t>
  </si>
  <si>
    <t>CX3225SB12000H0FLJCC</t>
  </si>
  <si>
    <t>12 MHz ±10ppm Crystal 12pF 150 Ohms 4-SMD, No Lead</t>
  </si>
  <si>
    <t>KYOCERA AVX</t>
  </si>
  <si>
    <t>ZX62R-B-5P</t>
  </si>
  <si>
    <t>USB 2.0-MICRO B, ZX62R-B-5P, SMD,Right Angle</t>
  </si>
  <si>
    <t>Hirose Electric</t>
  </si>
  <si>
    <t>Micro-USB</t>
  </si>
  <si>
    <t>TPD4S012</t>
  </si>
  <si>
    <t>4-Channel ESD Solution for USB-HS/USB OTG/USB Charger Interface</t>
  </si>
  <si>
    <t>SON-6</t>
  </si>
  <si>
    <t>SMD-4</t>
  </si>
  <si>
    <t>./symbols/IC/Analog/Other.SchLib</t>
  </si>
  <si>
    <t>IC EEPROM 2KBIT MICROWIRE 8SOIC</t>
  </si>
  <si>
    <t>93LC56BT/SN</t>
  </si>
  <si>
    <t>Microchip Technology</t>
  </si>
  <si>
    <t>SOIC-8</t>
  </si>
  <si>
    <t>ADM6-60-01.5-L-4-2-A-TR</t>
  </si>
  <si>
    <t>CONN 0.635MM HDR 60POS SMD</t>
  </si>
  <si>
    <t>Samtec Inc.</t>
  </si>
  <si>
    <t>240 Position Connector High Density Array, Male Surface Mount Gold</t>
  </si>
  <si>
    <t>SOM240_1</t>
  </si>
  <si>
    <t>SOM240_2</t>
  </si>
  <si>
    <t>ADM6-60-01.5-L-4-2-A-TR_2</t>
  </si>
  <si>
    <t>ADM6-60-01.5-L-4-2-A-TR_1</t>
  </si>
  <si>
    <t>1825140-2</t>
  </si>
  <si>
    <t>TE Connectivity ALCOSWITCH Switches</t>
  </si>
  <si>
    <t>Dip Switch SPST 4 Position Surface Mount Slide (Standard) Actuator 25mA 24VDC</t>
  </si>
  <si>
    <t>RC0402FR-07200RL</t>
  </si>
  <si>
    <t>200Ω ±1% 0.063W 0402 Thick Film Chip Resistor</t>
  </si>
  <si>
    <t>200R</t>
  </si>
  <si>
    <t>LED</t>
  </si>
  <si>
    <t>LTST-C191KGKT</t>
  </si>
  <si>
    <t>Green 571nm LED Indication - Discrete 2V 0603 (1608 Metric)</t>
  </si>
  <si>
    <t>Lite-On Inc.</t>
  </si>
  <si>
    <t>SW_BTN</t>
  </si>
  <si>
    <t>Omron Electronics Inc-EMC Div</t>
  </si>
  <si>
    <t>Tactile Switch SPST-NO Top Actuated Surface Mount</t>
  </si>
  <si>
    <t>B3U-1100P-B</t>
  </si>
  <si>
    <t>DIPSW_4</t>
  </si>
  <si>
    <t>CT2064-ND</t>
  </si>
  <si>
    <t>Dip Switch SPST 4 Position Through Hole Slide (Standard) Actuator 50mA 24VDC</t>
  </si>
  <si>
    <t>CTS Electrocomponents</t>
  </si>
  <si>
    <t>DP83867ISRGZ</t>
  </si>
  <si>
    <t>Industrial temperature, robust gigabit Ethernet PHY transceiver with SGMII</t>
  </si>
  <si>
    <t>VQFN-48</t>
  </si>
  <si>
    <t>7B-25.000MAAJ-T</t>
  </si>
  <si>
    <t>25 MHz ±30ppm Crystal 18pF 40 Ohms 4-SMD, No Lead</t>
  </si>
  <si>
    <t>TXC CORPORATION</t>
  </si>
  <si>
    <t>11kΩ ±1% 0.063W 0402 Thick Film Chip Resistor</t>
  </si>
  <si>
    <t>RC0402FR-0711KL</t>
  </si>
  <si>
    <t>11K</t>
  </si>
  <si>
    <t>RC0402FR-072K49L</t>
  </si>
  <si>
    <t>2K49</t>
  </si>
  <si>
    <t>2.49kΩ ±1% 0.063W 0402 Thick Film Chip Resistor</t>
  </si>
  <si>
    <t>5.76kΩ ±1% 0.063W 0402 Thick Film Chip Resistor</t>
  </si>
  <si>
    <t>RC0402FR-075K76L</t>
  </si>
  <si>
    <t>5K76</t>
  </si>
  <si>
    <t>ADP151AUJZ-2.5</t>
  </si>
  <si>
    <t>TLV73310PDBVR</t>
  </si>
  <si>
    <t>TLV73318PDBVR</t>
  </si>
  <si>
    <t>Linear Voltage Regulator IC Positive Fixed 1 Output 200mA TSOT-23-5</t>
  </si>
  <si>
    <t>TSOT-23-5</t>
  </si>
  <si>
    <t>2.2 to 5.5</t>
  </si>
  <si>
    <t>2.5</t>
  </si>
  <si>
    <t>Linear Voltage Regulator IC Positive Fixed 1 Output 300mA SOT-23-5</t>
  </si>
  <si>
    <t>SOT-23-5</t>
  </si>
  <si>
    <t>Linear Voltage Regulator IC Positive Fixed 1.8 Output 300mA SOT-23-5</t>
  </si>
  <si>
    <t>1</t>
  </si>
  <si>
    <t>1.4 to 5.5</t>
  </si>
  <si>
    <t>J0G-0001NL</t>
  </si>
  <si>
    <t>1 Port RJ45 Through Hole 10/100/1000 Base-T, AutoMDIX</t>
  </si>
  <si>
    <t>CONN JACK 1PORT PCB</t>
  </si>
  <si>
    <t>RC0402FR-07330RL</t>
  </si>
  <si>
    <t>330Ω ±1% 0.063W 0402 Thick Film Chip Resistor</t>
  </si>
  <si>
    <t>330R</t>
  </si>
  <si>
    <t>MAX3485</t>
  </si>
  <si>
    <t>MAX3485CSA</t>
  </si>
  <si>
    <t>1/1 Transceiver Half RS422, RS485 8-SOIC</t>
  </si>
  <si>
    <t>RC0402FR-07120RL</t>
  </si>
  <si>
    <t>120Ω ±1% 0.063W 0402 Thick Film Chip Resistor</t>
  </si>
  <si>
    <t>120R</t>
  </si>
  <si>
    <t>ASGTX-C-122.880MHZ-1</t>
  </si>
  <si>
    <t>RC0402FR-0775KL</t>
  </si>
  <si>
    <t>75K</t>
  </si>
  <si>
    <t>122.88 MHz VCTCXO LVCMOS Oscillator 3.135V ~ 3.465V 6-SMD, No Lead</t>
  </si>
  <si>
    <t>Abracon LLC</t>
  </si>
  <si>
    <t>SMD-6</t>
  </si>
  <si>
    <t>20021321-00050T4LF</t>
  </si>
  <si>
    <t>Amphenol ICC (FCI)</t>
  </si>
  <si>
    <t>50 Position Receptacle Connector 0.050" (1.27mm) Surface Mount Gold</t>
  </si>
  <si>
    <t>CONN RCPT 50POS 0.05 GOLD SMD</t>
  </si>
  <si>
    <t>PCI Express / PCI-connectoren M.2 0.5PITCH 4.2H KEY E GOLDFLASH</t>
  </si>
  <si>
    <t>TE Connectivity</t>
  </si>
  <si>
    <t>2199119-2</t>
  </si>
  <si>
    <t>SM712-02HTG</t>
  </si>
  <si>
    <t> SM712 TVS Diode Array is designed to protect RS-485 applications</t>
  </si>
  <si>
    <t>Littelfuse</t>
  </si>
  <si>
    <t>SM712</t>
  </si>
  <si>
    <t>15EDGRC-3.81-06P-14-00A(H)</t>
  </si>
  <si>
    <t>pluggable terminal block; socket; male; 7A; 250V; PIN: 6</t>
  </si>
  <si>
    <t>DEGSON ELECTRONICS</t>
  </si>
  <si>
    <t>pluggable terminal block</t>
  </si>
  <si>
    <t>15EDGRC-06P</t>
  </si>
  <si>
    <t>PESD3V3L1BA</t>
  </si>
  <si>
    <t>Bidirectional ElectroStatic Discharge (ESD) protection diode in a very small SOD323 (SC-76) SMD plastic package designed to protect one signal line from the damage caused by ESD and other transients.</t>
  </si>
  <si>
    <t>SOD323</t>
  </si>
  <si>
    <t>HMC451LP3</t>
  </si>
  <si>
    <t>GaAs PHEMT MMIC MEDIUM POWER AMPLIFIER, 5 - 18 GHz</t>
  </si>
  <si>
    <t>AVA-183P+</t>
  </si>
  <si>
    <t>a InGaAs E-PHEMT* based wideband, positive gain slope MMIC amplifier</t>
  </si>
  <si>
    <t>YAT-0A+</t>
  </si>
  <si>
    <t>EP2KA+</t>
  </si>
  <si>
    <t>JV259-1</t>
  </si>
  <si>
    <t>YAT-3A+</t>
  </si>
  <si>
    <t>CP_0402</t>
  </si>
  <si>
    <t>Antenna</t>
  </si>
  <si>
    <t>УГО антенны</t>
  </si>
  <si>
    <t>def_ant</t>
  </si>
  <si>
    <t>GRM155R61A106ME11D</t>
  </si>
  <si>
    <t>10uF ±20% 10V X5R 0402 Multilayer Ceramic Capacitor</t>
  </si>
  <si>
    <t>ADRV9025BBCZ</t>
  </si>
  <si>
    <t>ADRV902x</t>
  </si>
  <si>
    <t>2 ~ 5GHz transmitting differential-single-ended amplifier</t>
  </si>
  <si>
    <t>CWS13102</t>
  </si>
  <si>
    <t>CW</t>
  </si>
  <si>
    <t>CWS13101</t>
  </si>
  <si>
    <t>2 ~ 5GHz receiving differential-single-ended amplifier</t>
  </si>
  <si>
    <t>LQW18AN10NG00</t>
  </si>
  <si>
    <t>10nH</t>
  </si>
  <si>
    <t>QPA1008</t>
  </si>
  <si>
    <t>S-band two stage variable gain driver amplifier in a 5x5 mm QFN. The QPA1008 operates from 2.7 to 3.8 GHz and provides 31dBm of P1dB output power with 26 dB of large signal gain and greater than 30% PAE</t>
  </si>
  <si>
    <t xml:space="preserve">Qorvo </t>
  </si>
  <si>
    <t>TQL9092</t>
  </si>
  <si>
    <t>Ultra Low Noise, Flat Gain Low Noise Amplifier</t>
  </si>
  <si>
    <t>4400BL15A0100E</t>
  </si>
  <si>
    <t>High-frequency 4.4 GHz LTCC RF balun ideal for compact RF designs</t>
  </si>
  <si>
    <t xml:space="preserve">0805 </t>
  </si>
  <si>
    <t>D17W+</t>
  </si>
  <si>
    <t>16-26 dB SMT Directional Coupler, 700 - 3500 MHz, 50Ω</t>
  </si>
  <si>
    <t>CA531</t>
  </si>
  <si>
    <t>HMC544A</t>
  </si>
  <si>
    <t>GaAs MMIC T/R Switch, DC - 4 GHz</t>
  </si>
  <si>
    <t>SOT26</t>
  </si>
  <si>
    <t>SN74LVC1G14DBVT</t>
  </si>
  <si>
    <t>Single 1.65-V to 5.5-V inverter with Schmitt-Trigger inputs</t>
  </si>
  <si>
    <t>SOT-23</t>
  </si>
  <si>
    <t>SN74LVC1G17DBVT</t>
  </si>
  <si>
    <t>Single 1.65-V to 5.5-V buffer with Schmitt-Trigger inputs</t>
  </si>
  <si>
    <t>61202021621</t>
  </si>
  <si>
    <t>Connector Header Through Hole 20 position 0.100" (2.54mm)</t>
  </si>
  <si>
    <t>Header</t>
  </si>
  <si>
    <t>G14A421211112HR</t>
  </si>
  <si>
    <t>42 Position SAS/PCIe Receptacle Connector Solder Surface Mount, Right Angle</t>
  </si>
  <si>
    <t>SAS/PCIe</t>
  </si>
  <si>
    <t>GRM033R61E104KE14J</t>
  </si>
  <si>
    <t>0.1uF±10% 25V X5R 0201 Multilayer Ceramic Capacitor</t>
  </si>
  <si>
    <t>0201_RF</t>
  </si>
  <si>
    <t>RC0201FR-07100RL</t>
  </si>
  <si>
    <t>100Ω ±1% 0.05W 0201 Thick Film Chip Resistor</t>
  </si>
  <si>
    <t>a CMOS, low dropout linear regulator (LDO) that operates from 2.3 V to 6.5 V and provides up to 2 A of output current</t>
  </si>
  <si>
    <t>TPS54394RSAR</t>
  </si>
  <si>
    <t>a dual, adaptive on-time D-CAP2™ mode synchronous buck converter</t>
  </si>
  <si>
    <t>VQFN-16</t>
  </si>
  <si>
    <t>4.5 to 18</t>
  </si>
  <si>
    <t>0.76 to 7</t>
  </si>
  <si>
    <t>75kΩ±1% 0.063W 0402 Thick Film Chip Resistor</t>
  </si>
  <si>
    <t>47.5kΩ ±1% 0.063W 0402 Thick Film Chip Resistor</t>
  </si>
  <si>
    <t>31.6kΩ ±1% 0.063W 0402 Thick Film Chip Resistor</t>
  </si>
  <si>
    <t>24.9Ω ±1% 0.063W 0402 Thick Film Chip Resistor</t>
  </si>
  <si>
    <t>1.5kΩ ±1% 0.063W 0402 Thick Film Chip Resistor</t>
  </si>
  <si>
    <t>1.05kΩ ±1% 0.063W 0402 Thick Film Chip Resistor</t>
  </si>
  <si>
    <t>10.2kΩ ±1% 0.063W 0402 Thick Film Chip Resistor</t>
  </si>
  <si>
    <t>10.7kΩ ±1% 0.063W 0402 Thick Film Chip Resistor</t>
  </si>
  <si>
    <t>68.1Ω ±1% 0.063W 0402 Thick Film Chip Resistor</t>
  </si>
  <si>
    <t>18.2Ω ±1% 0.063W 0402 Thick Film Chip Resistor</t>
  </si>
  <si>
    <t>17.8kΩ ±1% 0.063W 0402 Thick Film Chip Resistor</t>
  </si>
  <si>
    <t>8.66kΩ ±1% 0.063W 0402 Thick Film Chip Resistor</t>
  </si>
  <si>
    <t>RC0402FR-0722K1L</t>
  </si>
  <si>
    <t>22.1KΩ ±1% 0.05W 0402 Thick Film Chip Resistor</t>
  </si>
  <si>
    <t>RC0402FR-0793K1L</t>
  </si>
  <si>
    <t>93.1KΩ ±1% 0.05W 0402 Thick Film Chip Resistor</t>
  </si>
  <si>
    <t>93K1</t>
  </si>
  <si>
    <t>22K1</t>
  </si>
  <si>
    <t>RC0402FR-07165KL</t>
  </si>
  <si>
    <t>165KΩ ±1% 0.05W 0402 Thick Film Chip Resistor</t>
  </si>
  <si>
    <t>165K</t>
  </si>
  <si>
    <t>RC0402FR-0730K1L</t>
  </si>
  <si>
    <t>30.1KΩ ±1% 0.05W 0402 Thick Film Chip Resistor</t>
  </si>
  <si>
    <t>30K1</t>
  </si>
  <si>
    <t>TPS566238RQFR</t>
  </si>
  <si>
    <t>simple, easy-to-use, highefficiency, 6-A synchronous buck converters in a QFN 9-pin 1.5-mm × 2.0-mm package</t>
  </si>
  <si>
    <t>QFN-9</t>
  </si>
  <si>
    <t>3 to 18</t>
  </si>
  <si>
    <t>0.6 to 7</t>
  </si>
  <si>
    <t>TPS56623x</t>
  </si>
  <si>
    <t>4K99</t>
  </si>
  <si>
    <t>RC0402FR-074K99L</t>
  </si>
  <si>
    <t>4.99kΩ ±1% 0.063W 0402 Thick Film Chip Resistor</t>
  </si>
  <si>
    <t>18K2</t>
  </si>
  <si>
    <t>18.2kΩ±1% 0.063W 0402 Thick Film Chip Resistor</t>
  </si>
  <si>
    <t>RC0402FR-0718K2L</t>
  </si>
  <si>
    <t>6K81</t>
  </si>
  <si>
    <t>6.81kΩ ±1% 0.063W 0402 Thick Film Chip Resistor</t>
  </si>
  <si>
    <t>RC0402FR-076K81L</t>
  </si>
  <si>
    <t>40K2</t>
  </si>
  <si>
    <t>40.2kΩ±1% 0.063W 0402 Thick Film Chip Resistor</t>
  </si>
  <si>
    <t>RC0402FR-0740K2L</t>
  </si>
  <si>
    <t>ADMV1014ACCZ</t>
  </si>
  <si>
    <t>LGA-32</t>
  </si>
  <si>
    <t>ADMV1014</t>
  </si>
  <si>
    <t>The ADMV1014 is a silicon germanium (SiGe), wideband, microwave downconverter optimized for point to point microwave radio designs operating in the 24 GHz to 44 GHz frequency range</t>
  </si>
  <si>
    <t>ADMV1013ACCZ</t>
  </si>
  <si>
    <t>The ADMV1013 is a wideband, microwave upconverter optimized for point to point microwave radio designs operating in the 24 GHz to 44 GHz radio frequency (RF) range.</t>
  </si>
  <si>
    <t>LGA-40</t>
  </si>
  <si>
    <t>ADMV1013</t>
  </si>
  <si>
    <t>RC0402FR-0725K5L</t>
  </si>
  <si>
    <t>25.5KΩ ±1% 0.05W 0402 Thick Film Chip Resistor</t>
  </si>
  <si>
    <t>25K5</t>
  </si>
  <si>
    <t>TPS7A5401RPSR</t>
  </si>
  <si>
    <t>4 is a low-noise (4.4 µVRMS), low-dropout linear regulator (LDO) capable of sourcing 4 A with only 175 mV of maximum dropout</t>
  </si>
  <si>
    <t>VQFN-12</t>
  </si>
  <si>
    <t>1.1 to 6.5</t>
  </si>
  <si>
    <t>0.8 to 5.15</t>
  </si>
  <si>
    <t>TPS7A54</t>
  </si>
  <si>
    <t>RC0402FR-0749K9L</t>
  </si>
  <si>
    <t>49.9KΩ ±1% 0.05W 0402 Thick Film Chip Resistor</t>
  </si>
  <si>
    <t>49K9</t>
  </si>
  <si>
    <t>RC0402FR-0712K4L</t>
  </si>
  <si>
    <t>12.4KΩ ±1% 0.05W 0402 Thick Film Chip Resistor</t>
  </si>
  <si>
    <t>12K4</t>
  </si>
  <si>
    <t>ADRF5024BCCZN</t>
  </si>
  <si>
    <t>The ADRF5024 is a reflective, single-pole double-throw. Operates from 100 MHz to 44 GHz</t>
  </si>
  <si>
    <t>LGA-12</t>
  </si>
  <si>
    <t>ADRF5024</t>
  </si>
  <si>
    <t>QCS-83+</t>
  </si>
  <si>
    <t>GE0805C-1</t>
  </si>
  <si>
    <t>90-Hybrid Mini-Circuit</t>
  </si>
  <si>
    <t>EP4RKU+</t>
  </si>
  <si>
    <t>4 Ways MMIC Power Splitter, DC - 18000 MHz, 50Ω</t>
  </si>
  <si>
    <t>RC0402FR-0749R9L</t>
  </si>
  <si>
    <t>49.9Ω ±1% 0.063W 0402 Thick Film Chip Resistor</t>
  </si>
  <si>
    <t>49R9</t>
  </si>
  <si>
    <t>RC0402FR-071K1L</t>
  </si>
  <si>
    <t>1.1kΩ ±1% 0.063W 0402 Thick Film Chip Resistor</t>
  </si>
  <si>
    <t>1K1</t>
  </si>
  <si>
    <t>GVA-93+</t>
  </si>
  <si>
    <t>DF782</t>
  </si>
  <si>
    <t>0.05-8 GHz AMP, 16 dB Gain</t>
  </si>
  <si>
    <t>TXS0104E</t>
  </si>
  <si>
    <t>4-Bit Bidirectional Voltage-Level Translator for
Open-Drain and Push-Pull Applications</t>
  </si>
  <si>
    <t>VQFN-14</t>
  </si>
  <si>
    <t>PMA3-83LN+</t>
  </si>
  <si>
    <t>Amplifier 50Ω, 0.5 to 8.0 GHz, 21 dB Gain</t>
  </si>
  <si>
    <t>BFCW-542+</t>
  </si>
  <si>
    <t>Wide passband, 4700-6000 MHz</t>
  </si>
  <si>
    <t>ADM7172ACPZ-R7</t>
  </si>
  <si>
    <t>WLCSP-72</t>
  </si>
  <si>
    <t>TRHJ-4061</t>
  </si>
  <si>
    <t>RC0402FR-0769R8L</t>
  </si>
  <si>
    <t>69.8Ω ±1% 0.063W 0402 Thick Film Chip Resistor</t>
  </si>
  <si>
    <t>69R8</t>
  </si>
  <si>
    <t>RC0402FR-07221RL</t>
  </si>
  <si>
    <t>221Ω ±1% 0.063W 0402 Thick Film Chip Resistor</t>
  </si>
  <si>
    <t>221R</t>
  </si>
  <si>
    <t>ADP2166ACPZ-1.0-R7</t>
  </si>
  <si>
    <t>high efficiency, current mode control, step-down dc-to-dc regulators with an integrated 19 mΩ high-side FET and a 15 mΩ synchronous rectified FET</t>
  </si>
  <si>
    <t>LFCSP-24</t>
  </si>
  <si>
    <t>2.7 to 5.5</t>
  </si>
  <si>
    <t>ADP2166</t>
  </si>
  <si>
    <t>744314047</t>
  </si>
  <si>
    <t>Power Inductors - SMD WE-HCI 470nH 18A DCR=1.35mOhms AEC-Q200</t>
  </si>
  <si>
    <t>470 nH</t>
  </si>
  <si>
    <t>RC0402FR-0736KL</t>
  </si>
  <si>
    <t>36kΩ ±1% 0.063W 0402 Thick Film Chip Resistor</t>
  </si>
  <si>
    <t>36K</t>
  </si>
  <si>
    <t>GRM1555C1H681JA01D</t>
  </si>
  <si>
    <t>680pF±5% 50V C0G Multilayer Ceramic Capacitor</t>
  </si>
  <si>
    <t>680pF</t>
  </si>
  <si>
    <t>GCM155R71C223MA55D</t>
  </si>
  <si>
    <t>0.022uF±10% 50V X7R 0402 Multilayer Ceramic Capacitor</t>
  </si>
  <si>
    <t>0.022uF</t>
  </si>
  <si>
    <t>ADM7170ACPZ-R7</t>
  </si>
  <si>
    <t>TXS0104ERGYR</t>
  </si>
  <si>
    <t>RC0402FR-07196KL</t>
  </si>
  <si>
    <t>196K</t>
  </si>
  <si>
    <t>196kΩ ±1% 0.063W 0402 Thick Film Chip Resistor</t>
  </si>
  <si>
    <t>52.3kΩ±1% 0.063W 0402 Thick Film Chip Resistor</t>
  </si>
  <si>
    <t>RC0402FR-0752K3L</t>
  </si>
  <si>
    <t>52K3</t>
  </si>
  <si>
    <t>RC0402FR-07499KL</t>
  </si>
  <si>
    <t>499kΩ±1% 0.063W 0402 Thick Film Chip Resistor</t>
  </si>
  <si>
    <t>499K</t>
  </si>
  <si>
    <t>C-0402-520L103KT16T</t>
  </si>
  <si>
    <t>C-0402-NP0-50-4.7pF B</t>
  </si>
  <si>
    <t>Millimeter-wave silicon-based 
(CMOS) chip with integrated 4 Tx &amp; Rx channels, 
operating frequency ranging from 32GHz to 37GHz, 
which is mainly used in phased array radar system</t>
  </si>
  <si>
    <t>high-performance, wideband synthesizer that can generate any frequency from 10 MHz to 15 GHz</t>
  </si>
  <si>
    <t>SN65LVDS1DBVR</t>
  </si>
  <si>
    <t>single, low-voltage, differential line drivers and receivers in the small-outline transistor package</t>
  </si>
  <si>
    <t>SN65LVDS1</t>
  </si>
  <si>
    <t>SOT23-5</t>
  </si>
  <si>
    <t>RC0201FR-0722RL</t>
  </si>
  <si>
    <t>22R</t>
  </si>
  <si>
    <t>RC0201FR-0756RL</t>
  </si>
  <si>
    <t>56R</t>
  </si>
  <si>
    <t>QFN28-5X5</t>
  </si>
  <si>
    <t>DFN-EP-8</t>
  </si>
  <si>
    <t>RJ_6_ADI-L</t>
  </si>
  <si>
    <t>TSSOP-16-EPAD</t>
  </si>
  <si>
    <t>SOT-89</t>
  </si>
  <si>
    <t>PQFN127P600-8N</t>
  </si>
  <si>
    <t>CC-12-3</t>
  </si>
  <si>
    <t>CC-40-5</t>
  </si>
  <si>
    <t>CC-32-6</t>
  </si>
  <si>
    <t>CP-24-15</t>
  </si>
  <si>
    <t>CP-8-21</t>
  </si>
  <si>
    <t>XAL7020</t>
  </si>
  <si>
    <t>RC0201FR-0749R9L</t>
  </si>
  <si>
    <t>550L104KTT</t>
  </si>
  <si>
    <t>Specialty Ceramic Capacitors 16V 0.1uF Tol 10%</t>
  </si>
  <si>
    <t>Dielectric_Class</t>
  </si>
  <si>
    <t>Voltage_V</t>
  </si>
  <si>
    <t>./symbols/passive/cap.schlib</t>
  </si>
  <si>
    <t>./footprints/IC/IC.PcbLib</t>
  </si>
  <si>
    <t>./footprints/Passive/res.pcblib</t>
  </si>
  <si>
    <t>./symbols/Passive/res.Schlib</t>
  </si>
  <si>
    <t>./symbols/passive/ind.schlib</t>
  </si>
  <si>
    <t>./footprints/passive/ind.pcblib</t>
  </si>
  <si>
    <t>./symbols/IC/Power/DC_DC.SchLib</t>
  </si>
  <si>
    <t>./symbols./IC./Power./LDO.SchLib</t>
  </si>
  <si>
    <t>Same Sky</t>
  </si>
  <si>
    <t>./symbols/connectors/connectors.schlib</t>
  </si>
  <si>
    <t>./footprints/Connectors/connectors.PcbLib</t>
  </si>
  <si>
    <t>PCI Express / PCI Connectors</t>
  </si>
  <si>
    <t>./footprints/Transistors/Transistors.PcbLib</t>
  </si>
  <si>
    <t>./symbols/Transistors/Transistors.SchLib</t>
  </si>
  <si>
    <t>footprints/MISC/MISC.PcbLib</t>
  </si>
  <si>
    <t>./footprints/Diodes/diode.PcbLib</t>
  </si>
  <si>
    <t>./footprints/MISC/MISC.PcbLib</t>
  </si>
  <si>
    <t>./symbols/Diodes/Diode.SchLib</t>
  </si>
  <si>
    <t>./symbols/MISC/MISC.SchLib</t>
  </si>
  <si>
    <t>./symbols/Passive/balun.SchLib</t>
  </si>
  <si>
    <t>./symbols/passive/emi_filters.schlib</t>
  </si>
  <si>
    <t xml:space="preserve">Murata Manufacturing	</t>
  </si>
  <si>
    <t>Q_Factor_at_Freq</t>
  </si>
  <si>
    <t>15 @ 25.2 MHz</t>
  </si>
  <si>
    <t>35 @ 100 MHz</t>
  </si>
  <si>
    <t>16 @ 250 MHz</t>
  </si>
  <si>
    <t>18 @ 25.2 MHz</t>
  </si>
  <si>
    <t>F-BLM15GG471SN1D</t>
  </si>
  <si>
    <t>F-BLM18PG471SN1D</t>
  </si>
  <si>
    <t>SRF</t>
  </si>
  <si>
    <t>ComponentClass</t>
  </si>
  <si>
    <t>RF_Components</t>
  </si>
  <si>
    <t>0 to 24</t>
  </si>
  <si>
    <t>2.7 to 25</t>
  </si>
  <si>
    <t>0.97 to 41.6</t>
  </si>
  <si>
    <t>0402CS-39NXGLW</t>
  </si>
  <si>
    <t>39nH ±5% 690mA 550mΩ Cerramic Core Chip Inductor 0402</t>
  </si>
  <si>
    <t>45 @ 1700 MHz</t>
  </si>
  <si>
    <t>39nH</t>
  </si>
  <si>
    <t>0402_CS</t>
  </si>
  <si>
    <t>0402_LQW</t>
  </si>
  <si>
    <t>0402_FL</t>
  </si>
  <si>
    <t>LQW18AN18NG00D</t>
  </si>
  <si>
    <t>18nH</t>
  </si>
  <si>
    <t>10nH ±2% 650mA 110mΩ  Cerramic  Core Chip Inductor 0603</t>
  </si>
  <si>
    <t>18nH ±2% 650mA 110mΩ  Cerramic  Core Chip Inductor 0603</t>
  </si>
  <si>
    <t>LQW15AN18NG00D</t>
  </si>
  <si>
    <t>0603_LQW</t>
  </si>
  <si>
    <t>25 @ 250MHz</t>
  </si>
  <si>
    <t>40 @ 250MHz</t>
  </si>
  <si>
    <t>LHA-1+</t>
  </si>
  <si>
    <t>IC RF AMP CATV 50MHZ-6GHZ FG873</t>
  </si>
  <si>
    <t>FG873</t>
  </si>
  <si>
    <t>BLM15PD121SN1D</t>
  </si>
  <si>
    <t>120 Ohms @ 100 MHz 1 Power Line Ferrite Bead 0402 1.3A 90mOhm</t>
  </si>
  <si>
    <t>120Ω</t>
  </si>
  <si>
    <t>LFCN-5500D+</t>
  </si>
  <si>
    <t>LTCC Low Pass Filter, DC - 5500 MHz, 50Ω</t>
  </si>
  <si>
    <t>HFCW-9500+</t>
  </si>
  <si>
    <t>LTCC High Pass Filter, 10500 - 20000 MHz</t>
  </si>
  <si>
    <t>JC0603C</t>
  </si>
  <si>
    <t>HPF_6</t>
  </si>
  <si>
    <t>AVA-183A+</t>
  </si>
  <si>
    <t>DQ849</t>
  </si>
  <si>
    <t>0805CS-030XJRC</t>
  </si>
  <si>
    <t>18nH ±2% 370 mA 270mOhm Unshielded Drum Core Wirewound Inductor 0402</t>
  </si>
  <si>
    <t>3.3nH ±5% 600mA 80mΩ  Unshielded Wirewound Inductor 0805</t>
  </si>
  <si>
    <t>3.3nH</t>
  </si>
  <si>
    <t>50 @ 1.5GHz</t>
  </si>
  <si>
    <t>0805_CS</t>
  </si>
  <si>
    <t>GRM1555C1H5R6WA01D</t>
  </si>
  <si>
    <t>5.6pF</t>
  </si>
  <si>
    <t>±0,1</t>
  </si>
  <si>
    <t>±0,03</t>
  </si>
  <si>
    <t>C-0402-550L104KTT</t>
  </si>
  <si>
    <t>18pF</t>
  </si>
  <si>
    <t>GRM1555C1H180JA01D</t>
  </si>
  <si>
    <t>HFCN-7150+</t>
  </si>
  <si>
    <t>LTCC High Pass Filter, 7900 - 11000 MHz</t>
  </si>
  <si>
    <t>3.9kΩ ±1% 0.063W 0402 Thick Film Chip Resistor</t>
  </si>
  <si>
    <t>RC0402FR-072K37L</t>
  </si>
  <si>
    <t>2K37</t>
  </si>
  <si>
    <t>LTC5553</t>
  </si>
  <si>
    <t>LQP03HQ1N5C02D</t>
  </si>
  <si>
    <t>1.5nH ±0.2nH 1A 50mOhm Unshielded Thick Film Inductor 0201</t>
  </si>
  <si>
    <t>1.5nH</t>
  </si>
  <si>
    <t>20 @ 500MHz</t>
  </si>
  <si>
    <t>0201_LQP</t>
  </si>
  <si>
    <t>HFCW-1132+</t>
  </si>
  <si>
    <t>LTCC High Pass Filter, 13000 - 20000 MHz</t>
  </si>
  <si>
    <t>2GHz to 20GHz Microwave Mixer with Wideband DC–6GHz IF</t>
  </si>
  <si>
    <t>RC0402FR-0711K8L</t>
  </si>
  <si>
    <t>11K8</t>
  </si>
  <si>
    <t>11.8kΩ ±1% 0.063W 0402 Thick Film Chip Resistor</t>
  </si>
  <si>
    <t>2.37kΩ ±1% 0.063W 0402 Thick Film Chip Resistor</t>
  </si>
  <si>
    <t>22Ω ±1% 0.05W 0201 Thick Film Chip Resistor</t>
  </si>
  <si>
    <t>56Ω ±1% 0.05W 0201 Thick Film Chip Resistor</t>
  </si>
  <si>
    <t>49.9Ω ±1% 0.05W 0201 Thick Film Chip Resistor</t>
  </si>
  <si>
    <t>3.74kΩ ±1% 0.063W 0402 Thick Film Chip Resistor</t>
  </si>
  <si>
    <t>3K74</t>
  </si>
  <si>
    <t>RC0402FR-073K74L</t>
  </si>
  <si>
    <t>RC0402FR-073K01L</t>
  </si>
  <si>
    <t>3K01</t>
  </si>
  <si>
    <t>3.01kΩ ±1% 0.063W 0402 Thick Film Chip Resistor</t>
  </si>
  <si>
    <t>EP2K+</t>
  </si>
  <si>
    <t>2 Ways MMIC DC Pass Power Splitter, 5000 - 20000 MHz, 50Ω</t>
  </si>
  <si>
    <t>VQFN-HR-9</t>
  </si>
  <si>
    <t>VQFN-HR-12</t>
  </si>
  <si>
    <t>ADRF5238</t>
  </si>
  <si>
    <t>High Isolation, Silicon SPDT, Nonreflective Switch, 0.1GHz to 13GHz</t>
  </si>
  <si>
    <t>Amplifier</t>
  </si>
  <si>
    <t>./symbols/IC/RF/Amplifier.SchLib</t>
  </si>
  <si>
    <t>RF_SoC</t>
  </si>
  <si>
    <t>Beamformer</t>
  </si>
  <si>
    <t>Synth</t>
  </si>
  <si>
    <t>Filter</t>
  </si>
  <si>
    <t>Attenuator</t>
  </si>
  <si>
    <t>Mixer</t>
  </si>
  <si>
    <t>Other</t>
  </si>
  <si>
    <t>Transciever</t>
  </si>
  <si>
    <t>./symbols/IC/RF/Beamformer.Schlib</t>
  </si>
  <si>
    <t>./symbols/IC/RF/Synth.Schlib</t>
  </si>
  <si>
    <t>./symbols/IC/RF/Filter.Schlib</t>
  </si>
  <si>
    <t>./symbols/IC/RF/Amplifier.Schlib</t>
  </si>
  <si>
    <t>./symbols/IC/RF/Attenuator.Schlib</t>
  </si>
  <si>
    <t>./symbols/IC/RF/Mixer.Schlib</t>
  </si>
  <si>
    <t>./symbols/IC/RF/Other.Schlib</t>
  </si>
  <si>
    <t>./symbols/IC/RF/Transciever.Schlib</t>
  </si>
  <si>
    <t>LFCSP_RT-12</t>
  </si>
  <si>
    <t>CR-12-1</t>
  </si>
  <si>
    <t>Switch</t>
  </si>
  <si>
    <t>./symbols/IC/RF/Switch.Schlib</t>
  </si>
  <si>
    <t>LTCC Band Pass Filter, 3000 - 4600 MHz, 50Ω</t>
  </si>
  <si>
    <t>BFCN-3700+</t>
  </si>
  <si>
    <t>FV1206-4</t>
  </si>
  <si>
    <t>BPF_3</t>
  </si>
  <si>
    <t>BFHKI-9901+</t>
  </si>
  <si>
    <t>LTCC SMT Band Pass Filter, 8.6 - 10.9 GHz, 50Ω</t>
  </si>
  <si>
    <t>NM3237</t>
  </si>
  <si>
    <t>AVA-6183MPS+</t>
  </si>
  <si>
    <t>DG1677-8</t>
  </si>
  <si>
    <t>PMA2-183LN+</t>
  </si>
  <si>
    <t>Medium Power pHEMT Amplifier, 6 - 18 GHz, 50Ω, 5x5 mm QFN Style Package</t>
  </si>
  <si>
    <t>Low Noise, Linear Amplifier, 4000 MHz to 18 GHz, 50Ω</t>
  </si>
  <si>
    <t>MC1631-1</t>
  </si>
  <si>
    <t>Power Inductors - SMD WE-XHMI 1.5 uH 10.60 A 12.9 mOhms 4030</t>
  </si>
  <si>
    <t>1.5uH</t>
  </si>
  <si>
    <t>1uH</t>
  </si>
  <si>
    <t>10uH</t>
  </si>
  <si>
    <t>100uH</t>
  </si>
  <si>
    <t>RC0402FR-07270KL</t>
  </si>
  <si>
    <t>270kΩ ±1% 0.063W 0402 Thick Film Chip Resistor</t>
  </si>
  <si>
    <t>270K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</si>
</sst>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indexed="8"/>
      <name val="Calibri"/>
      <family val="2"/>
    </font>
    <font>
      <b/>
      <sz val="12"/>
      <color indexed="8"/>
      <name val="Calibri"/>
      <family val="2"/>
    </font>
    <font>
      <u/>
      <sz val="12"/>
      <color theme="10"/>
      <name val="Calibri"/>
      <family val="2"/>
    </font>
    <font>
      <sz val="8"/>
      <name val="Calibri"/>
      <family val="2"/>
    </font>
    <font>
      <sz val="12"/>
      <color indexed="8"/>
      <name val="Calibri"/>
      <family val="2"/>
      <charset val="204"/>
    </font>
    <font>
      <sz val="11"/>
      <color rgb="FF242424"/>
      <name val="Aptos Narrow"/>
      <family val="2"/>
    </font>
    <font>
      <sz val="12"/>
      <color rgb="FF000000"/>
      <name val="Arial"/>
      <family val="2"/>
      <charset val="204"/>
    </font>
    <font>
      <sz val="12"/>
      <color rgb="FF000000"/>
      <name val="Calibri"/>
      <family val="2"/>
      <charset val="204"/>
      <scheme val="minor"/>
    </font>
    <font>
      <sz val="12"/>
      <color rgb="FF101820"/>
      <name val="Arial"/>
      <family val="2"/>
      <charset val="204"/>
    </font>
    <font>
      <sz val="12"/>
      <color rgb="FF333333"/>
      <name val="Arial"/>
      <family val="2"/>
      <charset val="204"/>
    </font>
    <font>
      <sz val="12"/>
      <color rgb="FF333333"/>
      <name val="Arial"/>
      <family val="2"/>
      <charset val="204"/>
    </font>
    <font>
      <sz val="11"/>
      <color rgb="FF333333"/>
      <name val="Arial"/>
      <family val="2"/>
      <charset val="204"/>
    </font>
    <font>
      <sz val="11"/>
      <color rgb="FF000000"/>
      <name val="Arial"/>
      <family val="2"/>
      <charset val="204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 style="thin">
        <color indexed="3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6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16" fontId="0" fillId="0" borderId="0" xfId="0" quotePrefix="1" applyNumberFormat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0" fillId="0" borderId="0" xfId="0" applyNumberFormat="1" applyBorder="1" applyAlignment="1">
      <alignment horizontal="center"/>
    </xf>
    <xf numFmtId="49" fontId="0" fillId="0" borderId="0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  <xf numFmtId="0" fontId="9" fillId="0" borderId="0" xfId="0" applyFont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2" fillId="0" borderId="0" xfId="1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3" fillId="2" borderId="2" xfId="0" applyNumberFormat="1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2"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FD8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D5FABE-37A7-40DD-B0BB-8B0C0B397C06}" name="Таблица1" displayName="Таблица1" ref="A1:K58" totalsRowShown="0" headerRowDxfId="11" dataDxfId="10">
  <autoFilter ref="A1:K58" xr:uid="{1FD5FABE-37A7-40DD-B0BB-8B0C0B397C06}"/>
  <tableColumns count="11">
    <tableColumn id="1" xr3:uid="{7843C58A-8946-49E8-8B4F-6FC56C63F71C}" name="Part Number" dataDxfId="9"/>
    <tableColumn id="2" xr3:uid="{395C3B7F-A07F-45A1-AA9D-1223968173B0}" name="Description" dataDxfId="8"/>
    <tableColumn id="3" xr3:uid="{403BC260-59F4-40DA-94CC-AF7906879368}" name="Manufacturer" dataDxfId="7"/>
    <tableColumn id="4" xr3:uid="{CDCE9FA1-8746-41F4-936E-D0ABC21F422A}" name="Package" dataDxfId="6"/>
    <tableColumn id="13" xr3:uid="{59343C07-D35F-44D1-9368-6E1CCF91A8CF}" name="Type" dataDxfId="5"/>
    <tableColumn id="6" xr3:uid="{199B53A8-468F-45A7-8265-9A54793C9DB4}" name="Library Path" dataDxfId="4"/>
    <tableColumn id="7" xr3:uid="{D24C1035-72D8-4818-920F-6E9AED7E9E40}" name="Library Ref" dataDxfId="3"/>
    <tableColumn id="8" xr3:uid="{6AC72AD5-0057-42D7-A83B-E0C7D6F90F2B}" name="Footprint Path" dataDxfId="2"/>
    <tableColumn id="9" xr3:uid="{D4D59583-FBCB-4D0C-9DFF-8244BA403A96}" name="Footprint Ref"/>
    <tableColumn id="10" xr3:uid="{E5B71816-E1C8-4B3C-816B-DD3833C490FE}" name="UID" dataDxfId="1"/>
    <tableColumn id="11" xr3:uid="{A5236830-6661-40FC-85A8-C137FB0CCD24}" name="PnP_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01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7E78886-0D63-4AF5-BEF4-DE632C906FDD}">
  <we:reference id="wa200006231" version="1.3.0.2" store="ru-RU" storeType="OMEX"/>
  <we:alternateReferences>
    <we:reference id="WA200006231" version="1.3.0.2" store="WA20000623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_xldudf_BB_ASK</we:customFunctionIds>
        <we:customFunctionIds>_xldudf_BB_CHAT</we:customFunctionIds>
        <we:customFunctionIds>_xldudf_BB_CATEGORIZE</we:customFunctionIds>
        <we:customFunctionIds>_xldudf_BB_LOOKAT</we:customFunctionIds>
        <we:customFunctionIds>_xldudf_BB_MAJORITY</we:customFunctionIds>
        <we:customFunctionIds>_xldudf_BB_EMBEDDING</we:customFunctionIds>
        <we:customFunctionIds>_xldudf_BB_SIMILARITY</we:customFunctionIds>
        <we:customFunctionIds>_xldudf_BB_LOOKUP</we:customFunctionIds>
        <we:customFunctionIds>_xldudf_BB_ANSWER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9FEE-7B43-4A75-9DA8-40024301CBCC}">
  <dimension ref="A1:Q34"/>
  <sheetViews>
    <sheetView zoomScale="85" zoomScaleNormal="85" workbookViewId="0">
      <selection activeCell="P2" sqref="P2"/>
    </sheetView>
  </sheetViews>
  <sheetFormatPr defaultColWidth="11.125" defaultRowHeight="15.75" x14ac:dyDescent="0.25"/>
  <cols>
    <col min="1" max="1" width="44.25" customWidth="1"/>
    <col min="2" max="2" width="43.625" customWidth="1"/>
    <col min="3" max="3" width="24" customWidth="1"/>
    <col min="4" max="5" width="7.625" bestFit="1" customWidth="1"/>
    <col min="6" max="6" width="9.25" bestFit="1" customWidth="1"/>
    <col min="7" max="7" width="14.125" bestFit="1" customWidth="1"/>
    <col min="8" max="8" width="8.875" bestFit="1" customWidth="1"/>
    <col min="9" max="9" width="9" bestFit="1" customWidth="1"/>
    <col min="10" max="10" width="24.875" bestFit="1" customWidth="1"/>
    <col min="11" max="11" width="16.875" bestFit="1" customWidth="1"/>
    <col min="12" max="12" width="26.375" bestFit="1" customWidth="1"/>
    <col min="13" max="13" width="13" bestFit="1" customWidth="1"/>
    <col min="14" max="14" width="26.375" bestFit="1" customWidth="1"/>
    <col min="15" max="15" width="13" bestFit="1" customWidth="1"/>
    <col min="16" max="16" width="22.5" bestFit="1" customWidth="1"/>
    <col min="17" max="17" width="23.5" customWidth="1"/>
  </cols>
  <sheetData>
    <row r="1" spans="1:17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886</v>
      </c>
      <c r="G1" s="2" t="s">
        <v>885</v>
      </c>
      <c r="H1" s="2" t="s">
        <v>17</v>
      </c>
      <c r="I1" s="2" t="s">
        <v>19</v>
      </c>
      <c r="J1" s="2" t="s">
        <v>5</v>
      </c>
      <c r="K1" s="2" t="s">
        <v>6</v>
      </c>
      <c r="L1" s="2" t="s">
        <v>15</v>
      </c>
      <c r="M1" s="2" t="s">
        <v>16</v>
      </c>
      <c r="N1" s="2" t="s">
        <v>32</v>
      </c>
      <c r="O1" s="2" t="s">
        <v>14</v>
      </c>
      <c r="P1" s="2" t="s">
        <v>29</v>
      </c>
      <c r="Q1" s="2" t="s">
        <v>30</v>
      </c>
    </row>
    <row r="2" spans="1:17" s="2" customFormat="1" ht="20.100000000000001" customHeight="1" x14ac:dyDescent="0.25">
      <c r="A2" s="3" t="s">
        <v>67</v>
      </c>
      <c r="B2" s="2" t="s">
        <v>68</v>
      </c>
      <c r="C2" s="3" t="s">
        <v>908</v>
      </c>
      <c r="D2" s="2" t="s">
        <v>9</v>
      </c>
      <c r="E2" s="3" t="s">
        <v>55</v>
      </c>
      <c r="F2" s="2">
        <v>50</v>
      </c>
      <c r="G2" s="3" t="s">
        <v>26</v>
      </c>
      <c r="H2" s="3" t="s">
        <v>22</v>
      </c>
      <c r="I2" s="3" t="s">
        <v>33</v>
      </c>
      <c r="J2" s="2" t="s">
        <v>887</v>
      </c>
      <c r="K2" s="2" t="s">
        <v>10</v>
      </c>
      <c r="L2" s="2" t="s">
        <v>18</v>
      </c>
      <c r="M2" s="2" t="s">
        <v>9</v>
      </c>
      <c r="N2" s="2" t="s">
        <v>18</v>
      </c>
      <c r="O2" s="2" t="s">
        <v>31</v>
      </c>
      <c r="P2" s="2" t="str">
        <f>_xlfn.CONCAT("C-",D2,"-",G2,"-",F2,"-",E2," ", _xlfn.IFS(H2 ="±0,1", "B", H2 = "±0,25", "C", H2 = "±0,5", "D", H2 = "±1%", "F",H2="±2%","G",H2="±5%", "J", H2="±10%", "K", H2="±20%", "M"))</f>
        <v>C-0402-NP0-50-0.01uF J</v>
      </c>
      <c r="Q2" s="2" t="str">
        <f>P2</f>
        <v>C-0402-NP0-50-0.01uF J</v>
      </c>
    </row>
    <row r="3" spans="1:17" s="2" customFormat="1" ht="20.100000000000001" customHeight="1" x14ac:dyDescent="0.25">
      <c r="A3" s="2" t="s">
        <v>319</v>
      </c>
      <c r="B3" s="2" t="s">
        <v>322</v>
      </c>
      <c r="C3" s="3" t="s">
        <v>908</v>
      </c>
      <c r="D3" s="5" t="s">
        <v>9</v>
      </c>
      <c r="E3" s="3" t="s">
        <v>320</v>
      </c>
      <c r="F3" s="2">
        <v>16</v>
      </c>
      <c r="G3" s="3" t="s">
        <v>27</v>
      </c>
      <c r="H3" s="3" t="s">
        <v>24</v>
      </c>
      <c r="I3" s="3" t="s">
        <v>33</v>
      </c>
      <c r="J3" s="2" t="s">
        <v>887</v>
      </c>
      <c r="K3" s="2" t="s">
        <v>10</v>
      </c>
      <c r="L3" s="2" t="s">
        <v>18</v>
      </c>
      <c r="M3" s="2" t="s">
        <v>9</v>
      </c>
      <c r="N3" s="2" t="s">
        <v>18</v>
      </c>
      <c r="O3" s="2" t="s">
        <v>31</v>
      </c>
      <c r="P3" s="2" t="str">
        <f>_xlfn.CONCAT("C-",D3,"-",G3,"-",F3,"-",E3," ", _xlfn.IFS(H3 ="±0,1", "B", H3 = "±0,25", "C", H3 = "±0,5", "D", H3 = "±1%", "F",H3="±2%","G",H3="±5%", "J", H3="±10%", "K", H3="±20%", "M"))</f>
        <v>C-0402-X7R-16-0.068uF M</v>
      </c>
      <c r="Q3" s="2" t="str">
        <f>P3</f>
        <v>C-0402-X7R-16-0.068uF M</v>
      </c>
    </row>
    <row r="4" spans="1:17" s="2" customFormat="1" ht="20.100000000000001" customHeight="1" x14ac:dyDescent="0.25">
      <c r="A4" s="2" t="s">
        <v>60</v>
      </c>
      <c r="B4" s="2" t="s">
        <v>61</v>
      </c>
      <c r="C4" s="3" t="s">
        <v>908</v>
      </c>
      <c r="D4" s="2" t="s">
        <v>9</v>
      </c>
      <c r="E4" s="3" t="s">
        <v>162</v>
      </c>
      <c r="F4" s="3">
        <v>16</v>
      </c>
      <c r="G4" s="3" t="s">
        <v>27</v>
      </c>
      <c r="H4" s="3" t="s">
        <v>23</v>
      </c>
      <c r="I4" s="4" t="s">
        <v>33</v>
      </c>
      <c r="J4" s="2" t="s">
        <v>887</v>
      </c>
      <c r="K4" s="2" t="s">
        <v>10</v>
      </c>
      <c r="L4" s="2" t="s">
        <v>18</v>
      </c>
      <c r="M4" s="2" t="s">
        <v>9</v>
      </c>
      <c r="N4" s="2" t="s">
        <v>18</v>
      </c>
      <c r="O4" s="2" t="s">
        <v>31</v>
      </c>
      <c r="P4" s="2" t="str">
        <f t="shared" ref="P4:P13" si="0">_xlfn.CONCAT("C-",D4,"-",G4,"-",F4,"-",E4," ", _xlfn.IFS(H4 ="±0,1", "B", H4 = "±0,25", "C", H4 = "±0,5", "D", H4 = "±1%", "F",H4="±2%","G",H4="±5%", "J", H4="±10%", "K", H4="±20%", "M"))</f>
        <v>C-0402-X7R-16-0.1uF K</v>
      </c>
      <c r="Q4" s="2" t="str">
        <f t="shared" ref="Q4:Q28" si="1">P4</f>
        <v>C-0402-X7R-16-0.1uF K</v>
      </c>
    </row>
    <row r="5" spans="1:17" s="2" customFormat="1" ht="20.100000000000001" customHeight="1" x14ac:dyDescent="0.25">
      <c r="A5" s="2" t="s">
        <v>65</v>
      </c>
      <c r="B5" s="2" t="s">
        <v>66</v>
      </c>
      <c r="C5" s="3" t="s">
        <v>908</v>
      </c>
      <c r="D5" s="2" t="s">
        <v>9</v>
      </c>
      <c r="E5" s="2" t="s">
        <v>162</v>
      </c>
      <c r="F5" s="2">
        <v>50</v>
      </c>
      <c r="G5" s="2" t="s">
        <v>28</v>
      </c>
      <c r="H5" s="3" t="s">
        <v>23</v>
      </c>
      <c r="I5" s="2" t="s">
        <v>33</v>
      </c>
      <c r="J5" s="2" t="s">
        <v>887</v>
      </c>
      <c r="K5" s="2" t="s">
        <v>10</v>
      </c>
      <c r="L5" s="2" t="s">
        <v>18</v>
      </c>
      <c r="M5" s="2" t="s">
        <v>9</v>
      </c>
      <c r="N5" s="2" t="s">
        <v>18</v>
      </c>
      <c r="O5" s="2" t="s">
        <v>31</v>
      </c>
      <c r="P5" s="2" t="str">
        <f t="shared" si="0"/>
        <v>C-0402-X5R-50-0.1uF K</v>
      </c>
      <c r="Q5" s="2" t="str">
        <f t="shared" si="1"/>
        <v>C-0402-X5R-50-0.1uF K</v>
      </c>
    </row>
    <row r="6" spans="1:17" s="2" customFormat="1" ht="20.100000000000001" customHeight="1" x14ac:dyDescent="0.25">
      <c r="A6" s="2" t="s">
        <v>160</v>
      </c>
      <c r="B6" s="2" t="s">
        <v>161</v>
      </c>
      <c r="C6" s="3" t="s">
        <v>908</v>
      </c>
      <c r="D6" s="5" t="s">
        <v>9</v>
      </c>
      <c r="E6" s="3" t="s">
        <v>162</v>
      </c>
      <c r="F6" s="2">
        <v>16</v>
      </c>
      <c r="G6" s="3" t="s">
        <v>28</v>
      </c>
      <c r="H6" s="3" t="s">
        <v>23</v>
      </c>
      <c r="I6" s="3" t="s">
        <v>33</v>
      </c>
      <c r="J6" s="2" t="s">
        <v>887</v>
      </c>
      <c r="K6" s="2" t="s">
        <v>10</v>
      </c>
      <c r="L6" s="2" t="s">
        <v>18</v>
      </c>
      <c r="M6" s="5" t="s">
        <v>9</v>
      </c>
      <c r="N6" s="2" t="s">
        <v>18</v>
      </c>
      <c r="O6" s="2" t="s">
        <v>31</v>
      </c>
      <c r="P6" s="2" t="str">
        <f t="shared" si="0"/>
        <v>C-0402-X5R-16-0.1uF K</v>
      </c>
      <c r="Q6" s="2" t="str">
        <f t="shared" si="1"/>
        <v>C-0402-X5R-16-0.1uF K</v>
      </c>
    </row>
    <row r="7" spans="1:17" s="2" customFormat="1" ht="20.100000000000001" customHeight="1" x14ac:dyDescent="0.25">
      <c r="A7" s="2" t="s">
        <v>475</v>
      </c>
      <c r="B7" s="2" t="s">
        <v>153</v>
      </c>
      <c r="C7" s="3" t="s">
        <v>908</v>
      </c>
      <c r="D7" s="5" t="s">
        <v>9</v>
      </c>
      <c r="E7" s="3" t="s">
        <v>476</v>
      </c>
      <c r="F7" s="2">
        <v>16</v>
      </c>
      <c r="G7" s="3" t="s">
        <v>28</v>
      </c>
      <c r="H7" s="3" t="s">
        <v>24</v>
      </c>
      <c r="I7" s="3" t="s">
        <v>33</v>
      </c>
      <c r="J7" s="2" t="s">
        <v>887</v>
      </c>
      <c r="K7" s="2" t="s">
        <v>10</v>
      </c>
      <c r="L7" s="2" t="s">
        <v>18</v>
      </c>
      <c r="M7" s="5" t="s">
        <v>9</v>
      </c>
      <c r="N7" s="2" t="s">
        <v>18</v>
      </c>
      <c r="O7" s="2" t="s">
        <v>31</v>
      </c>
      <c r="P7" s="2" t="str">
        <f t="shared" si="0"/>
        <v>C-0402-X5R-16-0.22uF M</v>
      </c>
      <c r="Q7" s="2" t="str">
        <f t="shared" si="1"/>
        <v>C-0402-X5R-16-0.22uF M</v>
      </c>
    </row>
    <row r="8" spans="1:17" s="2" customFormat="1" ht="20.100000000000001" customHeight="1" x14ac:dyDescent="0.25">
      <c r="A8" s="2" t="s">
        <v>149</v>
      </c>
      <c r="B8" s="2" t="s">
        <v>151</v>
      </c>
      <c r="C8" s="2" t="s">
        <v>85</v>
      </c>
      <c r="D8" s="5">
        <v>2220</v>
      </c>
      <c r="E8" s="3" t="s">
        <v>150</v>
      </c>
      <c r="F8" s="2">
        <v>50</v>
      </c>
      <c r="G8" s="3" t="s">
        <v>26</v>
      </c>
      <c r="H8" s="3" t="s">
        <v>22</v>
      </c>
      <c r="I8" s="3" t="s">
        <v>33</v>
      </c>
      <c r="J8" s="2" t="s">
        <v>887</v>
      </c>
      <c r="K8" s="2" t="s">
        <v>10</v>
      </c>
      <c r="L8" s="2" t="s">
        <v>18</v>
      </c>
      <c r="M8" s="2">
        <v>2220</v>
      </c>
      <c r="N8" s="2" t="s">
        <v>18</v>
      </c>
      <c r="P8" s="2" t="str">
        <f t="shared" si="0"/>
        <v>C-2220-NP0-50-0.47uF J</v>
      </c>
      <c r="Q8" s="2" t="str">
        <f t="shared" si="1"/>
        <v>C-2220-NP0-50-0.47uF J</v>
      </c>
    </row>
    <row r="9" spans="1:17" s="2" customFormat="1" ht="20.100000000000001" customHeight="1" x14ac:dyDescent="0.25">
      <c r="A9" s="2" t="s">
        <v>152</v>
      </c>
      <c r="B9" s="2" t="s">
        <v>153</v>
      </c>
      <c r="C9" s="3" t="s">
        <v>908</v>
      </c>
      <c r="D9" s="5" t="s">
        <v>9</v>
      </c>
      <c r="E9" s="3" t="s">
        <v>150</v>
      </c>
      <c r="F9" s="2">
        <v>16</v>
      </c>
      <c r="G9" s="3" t="s">
        <v>28</v>
      </c>
      <c r="H9" s="3" t="s">
        <v>24</v>
      </c>
      <c r="I9" s="3" t="s">
        <v>33</v>
      </c>
      <c r="J9" s="2" t="s">
        <v>887</v>
      </c>
      <c r="K9" s="2" t="s">
        <v>10</v>
      </c>
      <c r="L9" s="2" t="s">
        <v>18</v>
      </c>
      <c r="M9" s="5" t="s">
        <v>9</v>
      </c>
      <c r="N9" s="2" t="s">
        <v>18</v>
      </c>
      <c r="O9" s="2" t="s">
        <v>31</v>
      </c>
      <c r="P9" s="2" t="str">
        <f t="shared" si="0"/>
        <v>C-0402-X5R-16-0.47uF M</v>
      </c>
      <c r="Q9" s="2" t="str">
        <f t="shared" si="1"/>
        <v>C-0402-X5R-16-0.47uF M</v>
      </c>
    </row>
    <row r="10" spans="1:17" s="2" customFormat="1" ht="20.100000000000001" customHeight="1" x14ac:dyDescent="0.25">
      <c r="A10" s="2" t="s">
        <v>57</v>
      </c>
      <c r="B10" s="2" t="s">
        <v>58</v>
      </c>
      <c r="C10" s="3" t="s">
        <v>908</v>
      </c>
      <c r="D10" s="2" t="s">
        <v>9</v>
      </c>
      <c r="E10" s="3" t="s">
        <v>59</v>
      </c>
      <c r="F10" s="3">
        <v>50</v>
      </c>
      <c r="G10" s="3" t="s">
        <v>26</v>
      </c>
      <c r="H10" s="3" t="s">
        <v>22</v>
      </c>
      <c r="I10" s="4" t="s">
        <v>33</v>
      </c>
      <c r="J10" s="2" t="s">
        <v>887</v>
      </c>
      <c r="K10" s="2" t="s">
        <v>10</v>
      </c>
      <c r="L10" s="2" t="s">
        <v>18</v>
      </c>
      <c r="M10" s="2" t="s">
        <v>9</v>
      </c>
      <c r="N10" s="2" t="s">
        <v>18</v>
      </c>
      <c r="O10" s="2" t="s">
        <v>31</v>
      </c>
      <c r="P10" s="2" t="str">
        <f t="shared" si="0"/>
        <v>C-0402-NP0-50-1000pF J</v>
      </c>
      <c r="Q10" s="2" t="str">
        <f t="shared" si="1"/>
        <v>C-0402-NP0-50-1000pF J</v>
      </c>
    </row>
    <row r="11" spans="1:17" s="2" customFormat="1" ht="20.100000000000001" customHeight="1" x14ac:dyDescent="0.25">
      <c r="A11" s="2" t="s">
        <v>70</v>
      </c>
      <c r="B11" s="2" t="s">
        <v>69</v>
      </c>
      <c r="C11" s="3" t="s">
        <v>908</v>
      </c>
      <c r="D11" s="5" t="s">
        <v>9</v>
      </c>
      <c r="E11" s="2" t="s">
        <v>71</v>
      </c>
      <c r="F11" s="2">
        <v>50</v>
      </c>
      <c r="G11" s="3" t="s">
        <v>26</v>
      </c>
      <c r="H11" s="3" t="s">
        <v>21</v>
      </c>
      <c r="I11" s="3" t="s">
        <v>33</v>
      </c>
      <c r="J11" s="2" t="s">
        <v>887</v>
      </c>
      <c r="K11" s="2" t="s">
        <v>10</v>
      </c>
      <c r="L11" s="2" t="s">
        <v>18</v>
      </c>
      <c r="M11" s="2" t="s">
        <v>9</v>
      </c>
      <c r="N11" s="2" t="s">
        <v>18</v>
      </c>
      <c r="O11" s="2" t="s">
        <v>31</v>
      </c>
      <c r="P11" s="2" t="str">
        <f t="shared" si="0"/>
        <v>C-0402-NP0-50-100pF G</v>
      </c>
      <c r="Q11" s="2" t="str">
        <f t="shared" si="1"/>
        <v>C-0402-NP0-50-100pF G</v>
      </c>
    </row>
    <row r="12" spans="1:17" s="2" customFormat="1" ht="20.100000000000001" customHeight="1" x14ac:dyDescent="0.25">
      <c r="A12" s="2" t="s">
        <v>167</v>
      </c>
      <c r="B12" s="2" t="s">
        <v>168</v>
      </c>
      <c r="C12" s="3" t="s">
        <v>908</v>
      </c>
      <c r="D12" s="5" t="s">
        <v>9</v>
      </c>
      <c r="E12" s="3" t="s">
        <v>169</v>
      </c>
      <c r="F12" s="2">
        <v>50</v>
      </c>
      <c r="G12" s="3" t="s">
        <v>26</v>
      </c>
      <c r="H12" s="3" t="s">
        <v>22</v>
      </c>
      <c r="I12" s="3" t="s">
        <v>33</v>
      </c>
      <c r="J12" s="2" t="s">
        <v>887</v>
      </c>
      <c r="K12" s="2" t="s">
        <v>10</v>
      </c>
      <c r="L12" s="2" t="s">
        <v>18</v>
      </c>
      <c r="M12" s="5" t="s">
        <v>9</v>
      </c>
      <c r="N12" s="2" t="s">
        <v>18</v>
      </c>
      <c r="O12" s="2" t="s">
        <v>31</v>
      </c>
      <c r="P12" s="2" t="str">
        <f t="shared" si="0"/>
        <v>C-0402-NP0-50-10pF J</v>
      </c>
      <c r="Q12" s="2" t="str">
        <f t="shared" si="1"/>
        <v>C-0402-NP0-50-10pF J</v>
      </c>
    </row>
    <row r="13" spans="1:17" s="2" customFormat="1" ht="20.100000000000001" customHeight="1" x14ac:dyDescent="0.25">
      <c r="A13" s="2" t="s">
        <v>62</v>
      </c>
      <c r="B13" s="2" t="s">
        <v>63</v>
      </c>
      <c r="C13" s="3" t="s">
        <v>908</v>
      </c>
      <c r="D13" s="2" t="s">
        <v>12</v>
      </c>
      <c r="E13" s="2" t="s">
        <v>86</v>
      </c>
      <c r="F13" s="2">
        <v>50</v>
      </c>
      <c r="G13" s="2" t="s">
        <v>28</v>
      </c>
      <c r="H13" s="3" t="s">
        <v>23</v>
      </c>
      <c r="I13" s="3" t="s">
        <v>33</v>
      </c>
      <c r="J13" s="2" t="s">
        <v>887</v>
      </c>
      <c r="K13" s="2" t="s">
        <v>10</v>
      </c>
      <c r="L13" s="2" t="s">
        <v>18</v>
      </c>
      <c r="M13" s="2" t="s">
        <v>12</v>
      </c>
      <c r="N13" s="2" t="s">
        <v>18</v>
      </c>
      <c r="P13" s="2" t="str">
        <f t="shared" si="0"/>
        <v>C-0805-X5R-50-10uF K</v>
      </c>
      <c r="Q13" s="2" t="str">
        <f t="shared" si="1"/>
        <v>C-0805-X5R-50-10uF K</v>
      </c>
    </row>
    <row r="14" spans="1:17" s="2" customFormat="1" ht="20.100000000000001" customHeight="1" x14ac:dyDescent="0.25">
      <c r="A14" s="2" t="s">
        <v>83</v>
      </c>
      <c r="B14" s="2" t="s">
        <v>84</v>
      </c>
      <c r="C14" s="2" t="s">
        <v>85</v>
      </c>
      <c r="D14" s="2">
        <v>1206</v>
      </c>
      <c r="E14" s="2" t="s">
        <v>86</v>
      </c>
      <c r="F14" s="2">
        <v>10</v>
      </c>
      <c r="I14" s="3" t="s">
        <v>87</v>
      </c>
      <c r="J14" s="2" t="s">
        <v>887</v>
      </c>
      <c r="K14" s="2" t="s">
        <v>88</v>
      </c>
      <c r="L14" s="2" t="s">
        <v>18</v>
      </c>
      <c r="M14" s="2" t="s">
        <v>224</v>
      </c>
      <c r="N14" s="2" t="s">
        <v>18</v>
      </c>
      <c r="P14" s="2" t="s">
        <v>223</v>
      </c>
      <c r="Q14" s="2" t="str">
        <f t="shared" si="1"/>
        <v>C-A-10-10uF K</v>
      </c>
    </row>
    <row r="15" spans="1:17" s="2" customFormat="1" ht="20.100000000000001" customHeight="1" x14ac:dyDescent="0.25">
      <c r="A15" s="2" t="s">
        <v>376</v>
      </c>
      <c r="B15" s="2" t="s">
        <v>377</v>
      </c>
      <c r="C15" s="3" t="s">
        <v>908</v>
      </c>
      <c r="D15" s="5" t="s">
        <v>9</v>
      </c>
      <c r="E15" s="2" t="s">
        <v>86</v>
      </c>
      <c r="F15" s="6" t="s">
        <v>378</v>
      </c>
      <c r="G15" s="3" t="s">
        <v>28</v>
      </c>
      <c r="H15" s="3" t="s">
        <v>24</v>
      </c>
      <c r="I15" s="3" t="s">
        <v>33</v>
      </c>
      <c r="J15" s="2" t="s">
        <v>887</v>
      </c>
      <c r="K15" s="2" t="s">
        <v>10</v>
      </c>
      <c r="L15" s="2" t="s">
        <v>18</v>
      </c>
      <c r="M15" s="2" t="s">
        <v>9</v>
      </c>
      <c r="N15" s="2" t="s">
        <v>18</v>
      </c>
      <c r="O15" s="2" t="s">
        <v>31</v>
      </c>
      <c r="P15" s="2" t="str">
        <f>_xlfn.CONCAT("C-",D15,"-",G15,"-",F15,"-",E15," ", _xlfn.IFS(H15 ="±0,1", "B", H15 = "±0,25", "C", H15 = "±0,5", "D", H15 = "±1%", "F",H15="±2%","G",H15="±5%", "J", H15="±10%", "K", H15="±20%", "M"))</f>
        <v>C-0402-X5R-6.3-10uF M</v>
      </c>
      <c r="Q15" s="2" t="str">
        <f t="shared" si="1"/>
        <v>C-0402-X5R-6.3-10uF M</v>
      </c>
    </row>
    <row r="16" spans="1:17" s="2" customFormat="1" ht="20.100000000000001" customHeight="1" x14ac:dyDescent="0.25">
      <c r="A16" s="2" t="s">
        <v>163</v>
      </c>
      <c r="B16" s="2" t="s">
        <v>164</v>
      </c>
      <c r="C16" s="3" t="s">
        <v>908</v>
      </c>
      <c r="D16" s="5" t="s">
        <v>9</v>
      </c>
      <c r="E16" s="3" t="s">
        <v>217</v>
      </c>
      <c r="F16" s="2">
        <v>50</v>
      </c>
      <c r="G16" s="2" t="s">
        <v>27</v>
      </c>
      <c r="H16" s="3" t="s">
        <v>22</v>
      </c>
      <c r="I16" s="3" t="s">
        <v>33</v>
      </c>
      <c r="J16" s="2" t="s">
        <v>887</v>
      </c>
      <c r="K16" s="2" t="s">
        <v>10</v>
      </c>
      <c r="L16" s="2" t="s">
        <v>18</v>
      </c>
      <c r="M16" s="5" t="s">
        <v>9</v>
      </c>
      <c r="N16" s="2" t="s">
        <v>18</v>
      </c>
      <c r="O16" s="2" t="s">
        <v>31</v>
      </c>
      <c r="P16" s="2" t="str">
        <f>_xlfn.CONCAT("C-",D16,"-",G16,"-",F16,"-",E16," ", _xlfn.IFS(H16 ="±0,1", "B", H16 = "±0,25", "C", H16 = "±0,5", "D", H16 = "±1%", "F",H16="±2%","G",H16="±5%", "J", H16="±10%", "K", H16="±20%", "M"))</f>
        <v>C-0402-X7R-50-1500pF J</v>
      </c>
      <c r="Q16" s="2" t="str">
        <f t="shared" si="1"/>
        <v>C-0402-X7R-50-1500pF J</v>
      </c>
    </row>
    <row r="17" spans="1:17" s="2" customFormat="1" ht="20.100000000000001" customHeight="1" x14ac:dyDescent="0.25">
      <c r="A17" s="2" t="s">
        <v>316</v>
      </c>
      <c r="B17" s="2" t="s">
        <v>318</v>
      </c>
      <c r="C17" s="3" t="s">
        <v>908</v>
      </c>
      <c r="D17" s="5" t="s">
        <v>9</v>
      </c>
      <c r="E17" s="3" t="s">
        <v>317</v>
      </c>
      <c r="F17" s="2">
        <v>25</v>
      </c>
      <c r="G17" s="3" t="s">
        <v>27</v>
      </c>
      <c r="H17" s="3" t="s">
        <v>23</v>
      </c>
      <c r="I17" s="3" t="s">
        <v>33</v>
      </c>
      <c r="J17" s="2" t="s">
        <v>887</v>
      </c>
      <c r="K17" s="2" t="s">
        <v>10</v>
      </c>
      <c r="L17" s="2" t="s">
        <v>18</v>
      </c>
      <c r="M17" s="2" t="s">
        <v>9</v>
      </c>
      <c r="N17" s="2" t="s">
        <v>18</v>
      </c>
      <c r="O17" s="2" t="s">
        <v>31</v>
      </c>
      <c r="P17" s="2" t="str">
        <f>_xlfn.CONCAT("C-",D17,"-",G17,"-",F17,"-",E17," ", _xlfn.IFS(H17 ="±0,1", "B", H17 = "±0,25", "C", H17 = "±0,5", "D", H17 = "±1%", "F",H17="±2%","G",H17="±5%", "J", H17="±10%", "K", H17="±20%", "M"))</f>
        <v>C-0402-X7R-25-1800pF K</v>
      </c>
      <c r="Q17" s="2" t="str">
        <f t="shared" si="1"/>
        <v>C-0402-X7R-25-1800pF K</v>
      </c>
    </row>
    <row r="18" spans="1:17" s="2" customFormat="1" ht="20.100000000000001" customHeight="1" x14ac:dyDescent="0.25">
      <c r="A18" s="2" t="s">
        <v>311</v>
      </c>
      <c r="B18" s="2" t="s">
        <v>312</v>
      </c>
      <c r="C18" s="3" t="s">
        <v>908</v>
      </c>
      <c r="D18" s="5" t="s">
        <v>9</v>
      </c>
      <c r="E18" s="3" t="s">
        <v>313</v>
      </c>
      <c r="F18" s="2">
        <v>25</v>
      </c>
      <c r="G18" s="3" t="s">
        <v>28</v>
      </c>
      <c r="H18" s="3" t="s">
        <v>24</v>
      </c>
      <c r="I18" s="3" t="s">
        <v>33</v>
      </c>
      <c r="J18" s="2" t="s">
        <v>887</v>
      </c>
      <c r="K18" s="2" t="s">
        <v>10</v>
      </c>
      <c r="L18" s="2" t="s">
        <v>18</v>
      </c>
      <c r="M18" s="2" t="s">
        <v>9</v>
      </c>
      <c r="N18" s="2" t="s">
        <v>18</v>
      </c>
      <c r="O18" s="2" t="s">
        <v>31</v>
      </c>
      <c r="P18" s="2" t="str">
        <f>_xlfn.CONCAT("C-",D18,"-",G18,"-",F18,"-",E18," ", _xlfn.IFS(H18 ="±0,1", "B", H18 = "±0,25", "C", H18 = "±0,5", "D", H18 = "±1%", "F",H18="±2%","G",H18="±5%", "J", H18="±10%", "K", H18="±20%", "M"))</f>
        <v>C-0402-X5R-25-1uF M</v>
      </c>
      <c r="Q18" s="2" t="str">
        <f t="shared" si="1"/>
        <v>C-0402-X5R-25-1uF M</v>
      </c>
    </row>
    <row r="19" spans="1:17" s="2" customFormat="1" ht="20.100000000000001" customHeight="1" x14ac:dyDescent="0.25">
      <c r="A19" s="2" t="s">
        <v>416</v>
      </c>
      <c r="B19" s="2" t="s">
        <v>417</v>
      </c>
      <c r="C19" s="3" t="s">
        <v>908</v>
      </c>
      <c r="D19" s="5" t="s">
        <v>9</v>
      </c>
      <c r="E19" s="3" t="s">
        <v>418</v>
      </c>
      <c r="F19" s="2">
        <v>50</v>
      </c>
      <c r="G19" s="3" t="s">
        <v>27</v>
      </c>
      <c r="H19" s="3" t="s">
        <v>23</v>
      </c>
      <c r="I19" s="3" t="s">
        <v>33</v>
      </c>
      <c r="J19" s="2" t="s">
        <v>887</v>
      </c>
      <c r="K19" s="2" t="s">
        <v>10</v>
      </c>
      <c r="L19" s="2" t="s">
        <v>18</v>
      </c>
      <c r="M19" s="2" t="s">
        <v>9</v>
      </c>
      <c r="N19" s="2" t="s">
        <v>18</v>
      </c>
      <c r="O19" s="2" t="s">
        <v>31</v>
      </c>
      <c r="P19" s="2" t="str">
        <f>_xlfn.CONCAT("C-",D19,"-",G19,"-",F19,"-",E19," ", _xlfn.IFS(H19 ="±0,1", "B", H19 = "±0,25", "C", H19 = "±0,5", "D", H19 = "±1%", "F",H19="±2%","G",H19="±5%", "J", H19="±10%", "K", H19="±20%", "M"))</f>
        <v>C-0402-X7R-50-2200pF K</v>
      </c>
      <c r="Q19" s="2" t="str">
        <f t="shared" si="1"/>
        <v>C-0402-X7R-50-2200pF K</v>
      </c>
    </row>
    <row r="20" spans="1:17" s="2" customFormat="1" ht="20.100000000000001" customHeight="1" x14ac:dyDescent="0.25">
      <c r="A20" s="3" t="s">
        <v>186</v>
      </c>
      <c r="B20" s="2" t="s">
        <v>187</v>
      </c>
      <c r="C20" s="3" t="s">
        <v>188</v>
      </c>
      <c r="D20" s="2" t="s">
        <v>189</v>
      </c>
      <c r="E20" s="3" t="s">
        <v>220</v>
      </c>
      <c r="F20" s="2">
        <v>50</v>
      </c>
      <c r="H20" s="3" t="s">
        <v>24</v>
      </c>
      <c r="I20" s="2" t="s">
        <v>185</v>
      </c>
      <c r="J20" s="2" t="s">
        <v>887</v>
      </c>
      <c r="K20" s="2" t="s">
        <v>88</v>
      </c>
      <c r="L20" s="2" t="s">
        <v>18</v>
      </c>
      <c r="M20" s="2" t="s">
        <v>189</v>
      </c>
      <c r="P20" s="3" t="s">
        <v>222</v>
      </c>
      <c r="Q20" s="2" t="str">
        <f t="shared" si="1"/>
        <v>C-UUD1H221MNL1GS</v>
      </c>
    </row>
    <row r="21" spans="1:17" s="2" customFormat="1" ht="20.100000000000001" customHeight="1" x14ac:dyDescent="0.25">
      <c r="A21" s="2" t="s">
        <v>410</v>
      </c>
      <c r="B21" s="2" t="s">
        <v>411</v>
      </c>
      <c r="C21" s="3" t="s">
        <v>908</v>
      </c>
      <c r="D21" s="5" t="s">
        <v>11</v>
      </c>
      <c r="E21" s="3" t="s">
        <v>412</v>
      </c>
      <c r="F21" s="2">
        <v>16</v>
      </c>
      <c r="G21" s="3" t="s">
        <v>28</v>
      </c>
      <c r="H21" s="3" t="s">
        <v>24</v>
      </c>
      <c r="I21" s="3" t="s">
        <v>33</v>
      </c>
      <c r="J21" s="2" t="s">
        <v>887</v>
      </c>
      <c r="K21" s="2" t="s">
        <v>10</v>
      </c>
      <c r="L21" s="2" t="s">
        <v>18</v>
      </c>
      <c r="M21" s="5" t="s">
        <v>11</v>
      </c>
      <c r="P21" s="2" t="str">
        <f t="shared" ref="P21:P26" si="2">_xlfn.CONCAT("C-",D21,"-",G21,"-",F21,"-",E21," ", _xlfn.IFS(H21 ="±0,1", "B", H21 = "±0,25", "C", H21 = "±0,5", "D", H21 = "±1%", "F",H21="±2%","G",H21="±5%", "J", H21="±10%", "K", H21="±20%", "M"))</f>
        <v>C-0603-X5R-16-22uF M</v>
      </c>
      <c r="Q21" s="2" t="str">
        <f t="shared" si="1"/>
        <v>C-0603-X5R-16-22uF M</v>
      </c>
    </row>
    <row r="22" spans="1:17" s="2" customFormat="1" ht="20.100000000000001" customHeight="1" x14ac:dyDescent="0.25">
      <c r="A22" s="2" t="s">
        <v>469</v>
      </c>
      <c r="B22" s="2" t="s">
        <v>472</v>
      </c>
      <c r="C22" s="3" t="s">
        <v>908</v>
      </c>
      <c r="D22" s="5" t="s">
        <v>9</v>
      </c>
      <c r="E22" s="3" t="s">
        <v>470</v>
      </c>
      <c r="F22" s="2">
        <v>50</v>
      </c>
      <c r="G22" s="3" t="s">
        <v>27</v>
      </c>
      <c r="H22" s="3" t="s">
        <v>23</v>
      </c>
      <c r="I22" s="3" t="s">
        <v>33</v>
      </c>
      <c r="J22" s="2" t="s">
        <v>887</v>
      </c>
      <c r="K22" s="2" t="s">
        <v>10</v>
      </c>
      <c r="L22" s="2" t="s">
        <v>18</v>
      </c>
      <c r="M22" s="2" t="s">
        <v>9</v>
      </c>
      <c r="N22" s="2" t="s">
        <v>18</v>
      </c>
      <c r="O22" s="2" t="s">
        <v>31</v>
      </c>
      <c r="P22" s="2" t="str">
        <f t="shared" si="2"/>
        <v>C-0402-X7R-50-3300pF K</v>
      </c>
      <c r="Q22" s="2" t="str">
        <f t="shared" si="1"/>
        <v>C-0402-X7R-50-3300pF K</v>
      </c>
    </row>
    <row r="23" spans="1:17" s="2" customFormat="1" ht="20.100000000000001" customHeight="1" x14ac:dyDescent="0.25">
      <c r="A23" s="2" t="s">
        <v>321</v>
      </c>
      <c r="B23" s="2" t="s">
        <v>323</v>
      </c>
      <c r="C23" s="3" t="s">
        <v>908</v>
      </c>
      <c r="D23" s="5" t="s">
        <v>9</v>
      </c>
      <c r="E23" s="3" t="s">
        <v>324</v>
      </c>
      <c r="F23" s="2">
        <v>50</v>
      </c>
      <c r="G23" s="3" t="s">
        <v>26</v>
      </c>
      <c r="H23" s="3" t="s">
        <v>22</v>
      </c>
      <c r="I23" s="3" t="s">
        <v>33</v>
      </c>
      <c r="J23" s="2" t="s">
        <v>887</v>
      </c>
      <c r="K23" s="2" t="s">
        <v>10</v>
      </c>
      <c r="L23" s="2" t="s">
        <v>18</v>
      </c>
      <c r="M23" s="2" t="s">
        <v>9</v>
      </c>
      <c r="N23" s="2" t="s">
        <v>18</v>
      </c>
      <c r="O23" s="2" t="s">
        <v>31</v>
      </c>
      <c r="P23" s="2" t="str">
        <f t="shared" si="2"/>
        <v>C-0402-NP0-50-390pF J</v>
      </c>
      <c r="Q23" s="2" t="str">
        <f t="shared" si="1"/>
        <v>C-0402-NP0-50-390pF J</v>
      </c>
    </row>
    <row r="24" spans="1:17" s="2" customFormat="1" ht="20.100000000000001" customHeight="1" x14ac:dyDescent="0.25">
      <c r="A24" s="2" t="s">
        <v>471</v>
      </c>
      <c r="B24" s="2" t="s">
        <v>473</v>
      </c>
      <c r="C24" s="3" t="s">
        <v>908</v>
      </c>
      <c r="D24" s="5" t="s">
        <v>9</v>
      </c>
      <c r="E24" s="3" t="s">
        <v>474</v>
      </c>
      <c r="F24" s="2">
        <v>50</v>
      </c>
      <c r="G24" s="3" t="s">
        <v>26</v>
      </c>
      <c r="H24" s="3" t="s">
        <v>22</v>
      </c>
      <c r="I24" s="3" t="s">
        <v>33</v>
      </c>
      <c r="J24" s="2" t="s">
        <v>887</v>
      </c>
      <c r="K24" s="2" t="s">
        <v>10</v>
      </c>
      <c r="L24" s="2" t="s">
        <v>18</v>
      </c>
      <c r="M24" s="5" t="s">
        <v>9</v>
      </c>
      <c r="N24" s="2" t="s">
        <v>18</v>
      </c>
      <c r="O24" s="2" t="s">
        <v>31</v>
      </c>
      <c r="P24" s="2" t="str">
        <f t="shared" si="2"/>
        <v>C-0402-NP0-50-39pF J</v>
      </c>
      <c r="Q24" s="2" t="str">
        <f t="shared" si="1"/>
        <v>C-0402-NP0-50-39pF J</v>
      </c>
    </row>
    <row r="25" spans="1:17" s="2" customFormat="1" ht="20.100000000000001" customHeight="1" x14ac:dyDescent="0.25">
      <c r="A25" s="2" t="s">
        <v>413</v>
      </c>
      <c r="B25" s="2" t="s">
        <v>414</v>
      </c>
      <c r="C25" s="3" t="s">
        <v>908</v>
      </c>
      <c r="D25" s="5" t="s">
        <v>9</v>
      </c>
      <c r="E25" s="3" t="s">
        <v>415</v>
      </c>
      <c r="F25" s="2">
        <v>50</v>
      </c>
      <c r="G25" s="3" t="s">
        <v>27</v>
      </c>
      <c r="H25" s="3" t="s">
        <v>23</v>
      </c>
      <c r="I25" s="3" t="s">
        <v>33</v>
      </c>
      <c r="J25" s="2" t="s">
        <v>887</v>
      </c>
      <c r="K25" s="2" t="s">
        <v>10</v>
      </c>
      <c r="L25" s="2" t="s">
        <v>18</v>
      </c>
      <c r="M25" s="2" t="s">
        <v>9</v>
      </c>
      <c r="N25" s="2" t="s">
        <v>18</v>
      </c>
      <c r="O25" s="2" t="s">
        <v>31</v>
      </c>
      <c r="P25" s="2" t="str">
        <f t="shared" si="2"/>
        <v>C-0402-X7R-50-4700pF K</v>
      </c>
      <c r="Q25" s="2" t="str">
        <f t="shared" si="1"/>
        <v>C-0402-X7R-50-4700pF K</v>
      </c>
    </row>
    <row r="26" spans="1:17" s="2" customFormat="1" ht="20.100000000000001" customHeight="1" x14ac:dyDescent="0.25">
      <c r="A26" s="2" t="s">
        <v>440</v>
      </c>
      <c r="B26" s="2" t="s">
        <v>441</v>
      </c>
      <c r="C26" s="3" t="s">
        <v>908</v>
      </c>
      <c r="D26" s="5" t="s">
        <v>11</v>
      </c>
      <c r="E26" s="3" t="s">
        <v>442</v>
      </c>
      <c r="F26" s="7" t="s">
        <v>378</v>
      </c>
      <c r="G26" s="3" t="s">
        <v>28</v>
      </c>
      <c r="H26" s="3" t="s">
        <v>24</v>
      </c>
      <c r="I26" s="3" t="s">
        <v>33</v>
      </c>
      <c r="J26" s="2" t="s">
        <v>887</v>
      </c>
      <c r="K26" s="2" t="s">
        <v>10</v>
      </c>
      <c r="L26" s="2" t="s">
        <v>18</v>
      </c>
      <c r="M26" s="5" t="s">
        <v>11</v>
      </c>
      <c r="P26" s="2" t="str">
        <f t="shared" si="2"/>
        <v>C-0603-X5R-6.3-47uF M</v>
      </c>
      <c r="Q26" s="2" t="str">
        <f t="shared" si="1"/>
        <v>C-0603-X5R-6.3-47uF M</v>
      </c>
    </row>
    <row r="27" spans="1:17" s="2" customFormat="1" ht="20.100000000000001" customHeight="1" x14ac:dyDescent="0.25">
      <c r="A27" s="2" t="s">
        <v>182</v>
      </c>
      <c r="B27" s="2" t="s">
        <v>183</v>
      </c>
      <c r="C27" s="3" t="s">
        <v>188</v>
      </c>
      <c r="D27" s="2" t="s">
        <v>184</v>
      </c>
      <c r="E27" s="2" t="s">
        <v>219</v>
      </c>
      <c r="F27" s="3">
        <v>35</v>
      </c>
      <c r="H27" s="3" t="s">
        <v>24</v>
      </c>
      <c r="I27" s="2" t="s">
        <v>185</v>
      </c>
      <c r="J27" s="2" t="s">
        <v>887</v>
      </c>
      <c r="K27" s="2" t="s">
        <v>88</v>
      </c>
      <c r="L27" s="2" t="s">
        <v>18</v>
      </c>
      <c r="M27" s="2" t="s">
        <v>184</v>
      </c>
      <c r="N27" s="2" t="s">
        <v>18</v>
      </c>
      <c r="P27" s="3" t="s">
        <v>221</v>
      </c>
      <c r="Q27" s="2" t="str">
        <f t="shared" si="1"/>
        <v>C-UUD1V680MCL1GS</v>
      </c>
    </row>
    <row r="28" spans="1:17" s="2" customFormat="1" ht="20.100000000000001" customHeight="1" x14ac:dyDescent="0.25">
      <c r="A28" s="2" t="s">
        <v>165</v>
      </c>
      <c r="B28" s="2" t="s">
        <v>166</v>
      </c>
      <c r="C28" s="3" t="s">
        <v>908</v>
      </c>
      <c r="D28" s="5" t="s">
        <v>9</v>
      </c>
      <c r="E28" s="3" t="s">
        <v>218</v>
      </c>
      <c r="F28" s="2">
        <v>50</v>
      </c>
      <c r="G28" s="3" t="s">
        <v>27</v>
      </c>
      <c r="H28" s="3" t="s">
        <v>23</v>
      </c>
      <c r="I28" s="3" t="s">
        <v>33</v>
      </c>
      <c r="J28" s="2" t="s">
        <v>887</v>
      </c>
      <c r="K28" s="2" t="s">
        <v>10</v>
      </c>
      <c r="L28" s="2" t="s">
        <v>18</v>
      </c>
      <c r="M28" s="5" t="s">
        <v>9</v>
      </c>
      <c r="N28" s="2" t="s">
        <v>18</v>
      </c>
      <c r="O28" s="2" t="s">
        <v>31</v>
      </c>
      <c r="P28" s="2" t="str">
        <f>_xlfn.CONCAT("C-",D28,"-",G28,"-",F28,"-",E28," ", _xlfn.IFS(H28 ="±0,1", "B", H28 = "±0,25", "C", H28 = "±0,5", "D", H28 = "±1%", "F",H28="±2%","G",H28="±5%", "J", H28="±10%", "K", H28="±20%", "M"))</f>
        <v>C-0402-X7R-50-8200pF K</v>
      </c>
      <c r="Q28" s="2" t="str">
        <f t="shared" si="1"/>
        <v>C-0402-X7R-50-8200pF K</v>
      </c>
    </row>
    <row r="29" spans="1:17" s="2" customFormat="1" ht="20.100000000000001" customHeight="1" x14ac:dyDescent="0.25">
      <c r="A29" s="2" t="s">
        <v>522</v>
      </c>
      <c r="B29" s="2" t="s">
        <v>523</v>
      </c>
      <c r="C29" s="3" t="s">
        <v>908</v>
      </c>
      <c r="D29" s="2">
        <v>1206</v>
      </c>
      <c r="E29" s="3" t="s">
        <v>524</v>
      </c>
      <c r="F29" s="7" t="s">
        <v>378</v>
      </c>
      <c r="G29" s="3" t="s">
        <v>28</v>
      </c>
      <c r="H29" s="3" t="s">
        <v>23</v>
      </c>
      <c r="I29" s="3" t="s">
        <v>33</v>
      </c>
      <c r="J29" s="2" t="s">
        <v>887</v>
      </c>
      <c r="K29" s="2" t="s">
        <v>10</v>
      </c>
      <c r="L29" s="2" t="s">
        <v>18</v>
      </c>
      <c r="M29" s="5" t="s">
        <v>525</v>
      </c>
      <c r="P29" s="2" t="str">
        <f>_xlfn.CONCAT("C-",D29,"-",G29,"-",F29,"-",E29," ", _xlfn.IFS(H29 ="±0,1", "B", H29 = "±0,25", "C", H29 = "±0,5", "D", H29 = "±1%", "F",H29="±2%","G",H29="±5%", "J", H29="±10%", "K", H29="±20%", "M"))</f>
        <v>C-1206-X5R-6.3-100uF K</v>
      </c>
      <c r="Q29" s="2" t="str">
        <f t="shared" ref="Q29:Q33" si="3">P29</f>
        <v>C-1206-X5R-6.3-100uF K</v>
      </c>
    </row>
    <row r="30" spans="1:17" s="2" customFormat="1" ht="20.100000000000001" customHeight="1" x14ac:dyDescent="0.25">
      <c r="A30" s="2" t="s">
        <v>526</v>
      </c>
      <c r="B30" s="2" t="s">
        <v>527</v>
      </c>
      <c r="C30" s="3" t="s">
        <v>908</v>
      </c>
      <c r="D30" s="2">
        <v>1210</v>
      </c>
      <c r="E30" s="3" t="s">
        <v>412</v>
      </c>
      <c r="F30" s="2">
        <v>25</v>
      </c>
      <c r="G30" s="3" t="s">
        <v>27</v>
      </c>
      <c r="H30" s="3" t="s">
        <v>23</v>
      </c>
      <c r="I30" s="3" t="s">
        <v>33</v>
      </c>
      <c r="J30" s="2" t="s">
        <v>887</v>
      </c>
      <c r="K30" s="2" t="s">
        <v>10</v>
      </c>
      <c r="L30" s="2" t="s">
        <v>18</v>
      </c>
      <c r="M30" s="2">
        <v>1210</v>
      </c>
      <c r="P30" s="2" t="str">
        <f>_xlfn.CONCAT("C-",D30,"-",G30,"-",F30,"-",E30," ", _xlfn.IFS(H30 ="±0,1", "B", H30 = "±0,25", "C", H30 = "±0,5", "D", H30 = "±1%", "F",H30="±2%","G",H30="±5%", "J", H30="±10%", "K", H30="±20%", "M"))</f>
        <v>C-1210-X7R-25-22uF K</v>
      </c>
      <c r="Q30" s="2" t="str">
        <f t="shared" si="3"/>
        <v>C-1210-X7R-25-22uF K</v>
      </c>
    </row>
    <row r="31" spans="1:17" s="2" customFormat="1" ht="20.100000000000001" customHeight="1" x14ac:dyDescent="0.25">
      <c r="A31" s="2" t="s">
        <v>546</v>
      </c>
      <c r="B31" s="2" t="s">
        <v>547</v>
      </c>
      <c r="C31" s="3" t="s">
        <v>908</v>
      </c>
      <c r="D31" s="5" t="s">
        <v>9</v>
      </c>
      <c r="E31" s="3" t="s">
        <v>548</v>
      </c>
      <c r="F31" s="2">
        <v>50</v>
      </c>
      <c r="G31" s="3" t="s">
        <v>26</v>
      </c>
      <c r="H31" s="3" t="s">
        <v>488</v>
      </c>
      <c r="I31" s="3" t="s">
        <v>33</v>
      </c>
      <c r="J31" s="2" t="s">
        <v>887</v>
      </c>
      <c r="K31" s="2" t="s">
        <v>10</v>
      </c>
      <c r="L31" s="2" t="s">
        <v>18</v>
      </c>
      <c r="M31" s="5" t="s">
        <v>9</v>
      </c>
      <c r="N31" s="2" t="s">
        <v>18</v>
      </c>
      <c r="O31" s="2" t="s">
        <v>31</v>
      </c>
      <c r="P31" s="2" t="s">
        <v>859</v>
      </c>
      <c r="Q31" s="2" t="str">
        <f t="shared" si="3"/>
        <v>C-0402-NP0-50-4.7pF B</v>
      </c>
    </row>
    <row r="32" spans="1:17" s="2" customFormat="1" ht="20.100000000000001" customHeight="1" x14ac:dyDescent="0.25">
      <c r="A32" s="2" t="s">
        <v>684</v>
      </c>
      <c r="B32" s="2" t="s">
        <v>685</v>
      </c>
      <c r="C32" s="3" t="s">
        <v>908</v>
      </c>
      <c r="D32" s="5" t="s">
        <v>9</v>
      </c>
      <c r="E32" s="3" t="s">
        <v>86</v>
      </c>
      <c r="F32" s="2">
        <v>10</v>
      </c>
      <c r="G32" s="3" t="s">
        <v>28</v>
      </c>
      <c r="H32" s="3" t="s">
        <v>24</v>
      </c>
      <c r="I32" s="3" t="s">
        <v>33</v>
      </c>
      <c r="J32" s="2" t="s">
        <v>887</v>
      </c>
      <c r="K32" s="2" t="s">
        <v>10</v>
      </c>
      <c r="L32" s="2" t="s">
        <v>18</v>
      </c>
      <c r="M32" s="5" t="s">
        <v>9</v>
      </c>
      <c r="N32" s="2" t="s">
        <v>18</v>
      </c>
      <c r="O32" s="2" t="s">
        <v>31</v>
      </c>
      <c r="P32" s="2" t="str">
        <f t="shared" ref="P32:P33" si="4">_xlfn.CONCAT("C-",D32,"-",G32,"-",F32,"-",E32," ", _xlfn.IFS(H32 ="±0,1", "B", H32 = "±0,25", "C", H32 = "±0,5", "D", H32 = "±1%", "F",H32="±2%","G",H32="±5%", "J", H32="±10%", "K", H32="±20%", "M"))</f>
        <v>C-0402-X5R-10-10uF M</v>
      </c>
      <c r="Q32" s="2" t="str">
        <f t="shared" si="3"/>
        <v>C-0402-X5R-10-10uF M</v>
      </c>
    </row>
    <row r="33" spans="1:17" s="2" customFormat="1" ht="20.100000000000001" customHeight="1" x14ac:dyDescent="0.25">
      <c r="A33" s="2" t="s">
        <v>720</v>
      </c>
      <c r="B33" s="2" t="s">
        <v>721</v>
      </c>
      <c r="C33" s="3" t="s">
        <v>908</v>
      </c>
      <c r="D33" s="5" t="s">
        <v>25</v>
      </c>
      <c r="E33" s="3" t="s">
        <v>162</v>
      </c>
      <c r="F33" s="2">
        <v>25</v>
      </c>
      <c r="G33" s="3" t="s">
        <v>28</v>
      </c>
      <c r="H33" s="3" t="s">
        <v>23</v>
      </c>
      <c r="I33" s="3" t="s">
        <v>33</v>
      </c>
      <c r="J33" s="2" t="s">
        <v>887</v>
      </c>
      <c r="K33" s="2" t="s">
        <v>10</v>
      </c>
      <c r="L33" s="2" t="s">
        <v>18</v>
      </c>
      <c r="M33" s="5" t="s">
        <v>25</v>
      </c>
      <c r="N33" s="2" t="s">
        <v>18</v>
      </c>
      <c r="O33" s="2" t="s">
        <v>722</v>
      </c>
      <c r="P33" s="2" t="str">
        <f t="shared" si="4"/>
        <v>C-0201-X5R-25-0.1uF K</v>
      </c>
      <c r="Q33" s="2" t="str">
        <f t="shared" si="3"/>
        <v>C-0201-X5R-25-0.1uF K</v>
      </c>
    </row>
    <row r="34" spans="1:17" s="2" customFormat="1" ht="20.100000000000001" customHeight="1" x14ac:dyDescent="0.25">
      <c r="A34" s="2" t="s">
        <v>844</v>
      </c>
      <c r="B34" s="2" t="s">
        <v>845</v>
      </c>
      <c r="C34" s="3" t="s">
        <v>908</v>
      </c>
      <c r="D34" s="5" t="s">
        <v>9</v>
      </c>
      <c r="E34" s="3" t="s">
        <v>846</v>
      </c>
      <c r="F34" s="2">
        <v>16</v>
      </c>
      <c r="G34" s="3" t="s">
        <v>27</v>
      </c>
      <c r="H34" s="3" t="s">
        <v>23</v>
      </c>
      <c r="I34" s="3" t="s">
        <v>33</v>
      </c>
      <c r="J34" s="2" t="s">
        <v>887</v>
      </c>
      <c r="K34" s="2" t="s">
        <v>10</v>
      </c>
      <c r="L34" s="2" t="s">
        <v>18</v>
      </c>
      <c r="M34" s="2" t="s">
        <v>9</v>
      </c>
      <c r="N34" s="2" t="s">
        <v>18</v>
      </c>
      <c r="O34" s="2" t="s">
        <v>31</v>
      </c>
      <c r="P34" s="2" t="str">
        <f>_xlfn.CONCAT("C-",D34,"-",G34,"-",F34,"-",E34," ", _xlfn.IFS(H34 ="±0,1", "B", H34 = "±0,25", "C", H34 = "±0,5", "D", H34 = "±1%", "F",H34="±2%","G",H34="±5%", "J", H34="±10%", "K", H34="±20%", "M"))</f>
        <v>C-0402-X7R-16-0.022uF K</v>
      </c>
      <c r="Q34" s="2" t="str">
        <f>P34</f>
        <v>C-0402-X7R-16-0.022uF K</v>
      </c>
    </row>
  </sheetData>
  <sheetProtection selectLockedCells="1" selectUnlockedCells="1"/>
  <sortState xmlns:xlrd2="http://schemas.microsoft.com/office/spreadsheetml/2017/richdata2" ref="A2:Q28">
    <sortCondition ref="E2:E28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CA3C0-2ABB-48C9-B99E-70A8CBC15068}">
  <dimension ref="A1:S18"/>
  <sheetViews>
    <sheetView workbookViewId="0">
      <selection activeCell="Q26" sqref="Q26"/>
    </sheetView>
  </sheetViews>
  <sheetFormatPr defaultRowHeight="15.75" x14ac:dyDescent="0.25"/>
  <cols>
    <col min="1" max="1" width="21.875" bestFit="1" customWidth="1"/>
    <col min="2" max="2" width="54.625" bestFit="1" customWidth="1"/>
    <col min="3" max="3" width="20.375" bestFit="1" customWidth="1"/>
    <col min="4" max="4" width="7.625" bestFit="1" customWidth="1"/>
    <col min="5" max="5" width="13.25" customWidth="1"/>
    <col min="6" max="6" width="9.25" bestFit="1" customWidth="1"/>
    <col min="7" max="7" width="14.125" bestFit="1" customWidth="1"/>
    <col min="8" max="8" width="8.875" bestFit="1" customWidth="1"/>
    <col min="9" max="10" width="8.875" customWidth="1"/>
    <col min="11" max="11" width="7.5" bestFit="1" customWidth="1"/>
    <col min="12" max="12" width="24.875" bestFit="1" customWidth="1"/>
    <col min="13" max="13" width="9.625" bestFit="1" customWidth="1"/>
    <col min="14" max="14" width="6.125" customWidth="1"/>
    <col min="17" max="17" width="13" bestFit="1" customWidth="1"/>
    <col min="18" max="18" width="25" customWidth="1"/>
    <col min="19" max="19" width="26.75" customWidth="1"/>
  </cols>
  <sheetData>
    <row r="1" spans="1:19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886</v>
      </c>
      <c r="G1" s="2" t="s">
        <v>885</v>
      </c>
      <c r="H1" s="2" t="s">
        <v>17</v>
      </c>
      <c r="I1" s="2" t="s">
        <v>916</v>
      </c>
      <c r="J1" s="2" t="s">
        <v>917</v>
      </c>
      <c r="K1" s="2" t="s">
        <v>19</v>
      </c>
      <c r="L1" s="2" t="s">
        <v>5</v>
      </c>
      <c r="M1" s="2" t="s">
        <v>6</v>
      </c>
      <c r="N1" s="2" t="s">
        <v>15</v>
      </c>
      <c r="O1" s="2" t="s">
        <v>16</v>
      </c>
      <c r="P1" s="2" t="s">
        <v>32</v>
      </c>
      <c r="Q1" s="2" t="s">
        <v>14</v>
      </c>
      <c r="R1" s="2" t="s">
        <v>29</v>
      </c>
      <c r="S1" s="2" t="s">
        <v>30</v>
      </c>
    </row>
    <row r="2" spans="1:19" s="2" customFormat="1" ht="20.100000000000001" customHeight="1" x14ac:dyDescent="0.25">
      <c r="A2" s="2" t="s">
        <v>53</v>
      </c>
      <c r="B2" s="2" t="s">
        <v>56</v>
      </c>
      <c r="C2" s="2" t="s">
        <v>54</v>
      </c>
      <c r="D2" s="2" t="s">
        <v>9</v>
      </c>
      <c r="E2" s="2" t="s">
        <v>55</v>
      </c>
      <c r="F2" s="2">
        <v>16</v>
      </c>
      <c r="G2" s="2" t="s">
        <v>27</v>
      </c>
      <c r="H2" s="2" t="s">
        <v>23</v>
      </c>
      <c r="J2" t="s">
        <v>918</v>
      </c>
      <c r="K2" s="2" t="s">
        <v>33</v>
      </c>
      <c r="L2" s="2" t="s">
        <v>887</v>
      </c>
      <c r="M2" s="2" t="s">
        <v>10</v>
      </c>
      <c r="N2" s="2" t="s">
        <v>18</v>
      </c>
      <c r="O2" s="5" t="s">
        <v>9</v>
      </c>
      <c r="P2" s="2" t="s">
        <v>18</v>
      </c>
      <c r="Q2" s="2" t="s">
        <v>31</v>
      </c>
      <c r="R2" s="2" t="s">
        <v>858</v>
      </c>
      <c r="S2" s="2" t="str">
        <f>R2</f>
        <v>C-0402-520L103KT16T</v>
      </c>
    </row>
    <row r="3" spans="1:19" s="2" customFormat="1" ht="20.100000000000001" customHeight="1" x14ac:dyDescent="0.25">
      <c r="A3" s="3" t="s">
        <v>231</v>
      </c>
      <c r="B3" s="2" t="s">
        <v>232</v>
      </c>
      <c r="C3" s="3" t="s">
        <v>908</v>
      </c>
      <c r="D3" s="5" t="s">
        <v>9</v>
      </c>
      <c r="E3" s="3" t="s">
        <v>233</v>
      </c>
      <c r="F3" s="2">
        <v>50</v>
      </c>
      <c r="G3" s="3" t="s">
        <v>26</v>
      </c>
      <c r="H3" s="3" t="s">
        <v>960</v>
      </c>
      <c r="I3" s="3"/>
      <c r="J3" t="s">
        <v>918</v>
      </c>
      <c r="K3" s="3" t="s">
        <v>33</v>
      </c>
      <c r="L3" s="2" t="s">
        <v>887</v>
      </c>
      <c r="M3" s="2" t="s">
        <v>10</v>
      </c>
      <c r="N3" s="2" t="s">
        <v>18</v>
      </c>
      <c r="O3" s="2" t="s">
        <v>9</v>
      </c>
      <c r="P3" s="2" t="s">
        <v>18</v>
      </c>
      <c r="Q3" s="2" t="s">
        <v>31</v>
      </c>
      <c r="R3" s="2" t="str">
        <f t="shared" ref="R3:R17" si="0">_xlfn.CONCAT("C-",D3,"-",G3,"-",F3,"-",E3," ", _xlfn.IFS(H3 ="±0,03", "A",H3 ="±0,1", "B", H3 = "±0,25", "C", H3 = "±0,5", "D", H3 = "±1%", "F",H3="±2%","G",H3="±5%", "J", H3="±10%", "K", H3="±20%", "M"))</f>
        <v>C-0402-NP0-50-0.15pF A</v>
      </c>
      <c r="S3" s="2" t="str">
        <f t="shared" ref="S3:S18" si="1">R3</f>
        <v>C-0402-NP0-50-0.15pF A</v>
      </c>
    </row>
    <row r="4" spans="1:19" s="2" customFormat="1" ht="20.100000000000001" customHeight="1" x14ac:dyDescent="0.25">
      <c r="A4" s="2" t="s">
        <v>485</v>
      </c>
      <c r="B4" s="2" t="s">
        <v>486</v>
      </c>
      <c r="C4" s="3" t="s">
        <v>908</v>
      </c>
      <c r="D4" s="5" t="s">
        <v>9</v>
      </c>
      <c r="E4" s="3" t="s">
        <v>487</v>
      </c>
      <c r="F4" s="2">
        <v>50</v>
      </c>
      <c r="G4" s="3" t="s">
        <v>26</v>
      </c>
      <c r="H4" s="3" t="s">
        <v>959</v>
      </c>
      <c r="I4" s="3"/>
      <c r="J4" t="s">
        <v>918</v>
      </c>
      <c r="K4" s="3" t="s">
        <v>33</v>
      </c>
      <c r="L4" s="2" t="s">
        <v>887</v>
      </c>
      <c r="M4" s="2" t="s">
        <v>10</v>
      </c>
      <c r="N4" s="2" t="s">
        <v>18</v>
      </c>
      <c r="O4" s="5" t="s">
        <v>9</v>
      </c>
      <c r="P4" s="2" t="s">
        <v>18</v>
      </c>
      <c r="Q4" s="2" t="s">
        <v>31</v>
      </c>
      <c r="R4" s="2" t="str">
        <f t="shared" si="0"/>
        <v>C-0402-NP0-50-6pF B</v>
      </c>
      <c r="S4" s="2" t="str">
        <f t="shared" si="1"/>
        <v>C-0402-NP0-50-6pF B</v>
      </c>
    </row>
    <row r="5" spans="1:19" s="2" customFormat="1" ht="20.100000000000001" customHeight="1" x14ac:dyDescent="0.25">
      <c r="A5" s="2" t="s">
        <v>546</v>
      </c>
      <c r="B5" s="2" t="s">
        <v>547</v>
      </c>
      <c r="C5" s="3" t="s">
        <v>908</v>
      </c>
      <c r="D5" s="5" t="s">
        <v>9</v>
      </c>
      <c r="E5" s="3" t="s">
        <v>548</v>
      </c>
      <c r="F5" s="2">
        <v>50</v>
      </c>
      <c r="G5" s="3" t="s">
        <v>26</v>
      </c>
      <c r="H5" s="3" t="s">
        <v>959</v>
      </c>
      <c r="I5" s="3"/>
      <c r="J5" t="s">
        <v>918</v>
      </c>
      <c r="K5" s="3" t="s">
        <v>33</v>
      </c>
      <c r="L5" s="2" t="s">
        <v>887</v>
      </c>
      <c r="M5" s="2" t="s">
        <v>10</v>
      </c>
      <c r="N5" s="2" t="s">
        <v>18</v>
      </c>
      <c r="O5" s="5" t="s">
        <v>9</v>
      </c>
      <c r="P5" s="2" t="s">
        <v>18</v>
      </c>
      <c r="Q5" s="2" t="s">
        <v>31</v>
      </c>
      <c r="R5" s="2" t="str">
        <f t="shared" si="0"/>
        <v>C-0402-NP0-50-4.7pF B</v>
      </c>
      <c r="S5" s="2" t="str">
        <f t="shared" si="1"/>
        <v>C-0402-NP0-50-4.7pF B</v>
      </c>
    </row>
    <row r="6" spans="1:19" s="2" customFormat="1" ht="20.100000000000001" customHeight="1" x14ac:dyDescent="0.25">
      <c r="A6" s="2" t="s">
        <v>883</v>
      </c>
      <c r="B6" s="9" t="s">
        <v>884</v>
      </c>
      <c r="C6" s="2" t="s">
        <v>54</v>
      </c>
      <c r="D6" s="5" t="s">
        <v>9</v>
      </c>
      <c r="E6" s="3" t="s">
        <v>162</v>
      </c>
      <c r="F6" s="2">
        <v>16</v>
      </c>
      <c r="G6" s="10" t="s">
        <v>28</v>
      </c>
      <c r="H6" s="3" t="s">
        <v>23</v>
      </c>
      <c r="I6" s="3"/>
      <c r="J6" t="s">
        <v>918</v>
      </c>
      <c r="K6" s="3" t="s">
        <v>33</v>
      </c>
      <c r="L6" s="2" t="s">
        <v>887</v>
      </c>
      <c r="M6" s="2" t="s">
        <v>10</v>
      </c>
      <c r="N6" s="2" t="s">
        <v>18</v>
      </c>
      <c r="O6" s="2" t="s">
        <v>9</v>
      </c>
      <c r="P6" s="2" t="s">
        <v>18</v>
      </c>
      <c r="Q6" s="2" t="s">
        <v>31</v>
      </c>
      <c r="R6" s="2" t="s">
        <v>961</v>
      </c>
      <c r="S6" s="2" t="str">
        <f t="shared" si="1"/>
        <v>C-0402-550L104KTT</v>
      </c>
    </row>
    <row r="7" spans="1:19" s="2" customFormat="1" ht="20.100000000000001" customHeight="1" x14ac:dyDescent="0.25">
      <c r="A7" s="3" t="s">
        <v>67</v>
      </c>
      <c r="B7" s="2" t="s">
        <v>68</v>
      </c>
      <c r="C7" s="3" t="s">
        <v>908</v>
      </c>
      <c r="D7" s="2" t="s">
        <v>9</v>
      </c>
      <c r="E7" s="3" t="s">
        <v>55</v>
      </c>
      <c r="F7" s="2">
        <v>50</v>
      </c>
      <c r="G7" s="3" t="s">
        <v>26</v>
      </c>
      <c r="H7" s="3" t="s">
        <v>22</v>
      </c>
      <c r="I7" s="3"/>
      <c r="J7" t="s">
        <v>918</v>
      </c>
      <c r="K7" s="3" t="s">
        <v>33</v>
      </c>
      <c r="L7" s="2" t="s">
        <v>887</v>
      </c>
      <c r="M7" s="2" t="s">
        <v>10</v>
      </c>
      <c r="N7" s="2" t="s">
        <v>18</v>
      </c>
      <c r="O7" s="2" t="s">
        <v>9</v>
      </c>
      <c r="P7" s="2" t="s">
        <v>18</v>
      </c>
      <c r="Q7" s="2" t="s">
        <v>31</v>
      </c>
      <c r="R7" s="2" t="str">
        <f t="shared" si="0"/>
        <v>C-0402-NP0-50-0.01uF J</v>
      </c>
      <c r="S7" s="2" t="str">
        <f t="shared" si="1"/>
        <v>C-0402-NP0-50-0.01uF J</v>
      </c>
    </row>
    <row r="8" spans="1:19" s="2" customFormat="1" ht="20.100000000000001" customHeight="1" x14ac:dyDescent="0.25">
      <c r="A8" s="3" t="s">
        <v>231</v>
      </c>
      <c r="B8" s="2" t="s">
        <v>232</v>
      </c>
      <c r="C8" s="3" t="s">
        <v>908</v>
      </c>
      <c r="D8" s="5" t="s">
        <v>9</v>
      </c>
      <c r="E8" s="3" t="s">
        <v>233</v>
      </c>
      <c r="F8" s="2">
        <v>50</v>
      </c>
      <c r="G8" s="3" t="s">
        <v>26</v>
      </c>
      <c r="H8" s="3" t="s">
        <v>960</v>
      </c>
      <c r="I8" s="3"/>
      <c r="J8" t="s">
        <v>918</v>
      </c>
      <c r="K8" s="3" t="s">
        <v>33</v>
      </c>
      <c r="L8" s="2" t="s">
        <v>887</v>
      </c>
      <c r="M8" s="2" t="s">
        <v>10</v>
      </c>
      <c r="N8" s="2" t="s">
        <v>18</v>
      </c>
      <c r="O8" s="2" t="s">
        <v>9</v>
      </c>
      <c r="P8" s="2" t="s">
        <v>18</v>
      </c>
      <c r="Q8" s="2" t="s">
        <v>31</v>
      </c>
      <c r="R8" s="2" t="str">
        <f t="shared" si="0"/>
        <v>C-0402-NP0-50-0.15pF A</v>
      </c>
      <c r="S8" s="2" t="str">
        <f t="shared" si="1"/>
        <v>C-0402-NP0-50-0.15pF A</v>
      </c>
    </row>
    <row r="9" spans="1:19" s="2" customFormat="1" ht="20.100000000000001" customHeight="1" x14ac:dyDescent="0.25">
      <c r="A9" s="2" t="s">
        <v>57</v>
      </c>
      <c r="B9" s="2" t="s">
        <v>58</v>
      </c>
      <c r="C9" s="3" t="s">
        <v>908</v>
      </c>
      <c r="D9" s="2" t="s">
        <v>9</v>
      </c>
      <c r="E9" s="3" t="s">
        <v>59</v>
      </c>
      <c r="F9" s="3">
        <v>50</v>
      </c>
      <c r="G9" s="3" t="s">
        <v>26</v>
      </c>
      <c r="H9" s="3" t="s">
        <v>22</v>
      </c>
      <c r="I9" s="3"/>
      <c r="J9" t="s">
        <v>918</v>
      </c>
      <c r="K9" s="4" t="s">
        <v>33</v>
      </c>
      <c r="L9" s="2" t="s">
        <v>887</v>
      </c>
      <c r="M9" s="2" t="s">
        <v>10</v>
      </c>
      <c r="N9" s="2" t="s">
        <v>18</v>
      </c>
      <c r="O9" s="2" t="s">
        <v>9</v>
      </c>
      <c r="P9" s="2" t="s">
        <v>18</v>
      </c>
      <c r="Q9" s="2" t="s">
        <v>31</v>
      </c>
      <c r="R9" s="2" t="str">
        <f t="shared" si="0"/>
        <v>C-0402-NP0-50-1000pF J</v>
      </c>
      <c r="S9" s="2" t="str">
        <f t="shared" si="1"/>
        <v>C-0402-NP0-50-1000pF J</v>
      </c>
    </row>
    <row r="10" spans="1:19" s="2" customFormat="1" ht="20.100000000000001" customHeight="1" x14ac:dyDescent="0.25">
      <c r="A10" s="2" t="s">
        <v>70</v>
      </c>
      <c r="B10" s="2" t="s">
        <v>69</v>
      </c>
      <c r="C10" s="3" t="s">
        <v>908</v>
      </c>
      <c r="D10" s="5" t="s">
        <v>9</v>
      </c>
      <c r="E10" s="2" t="s">
        <v>71</v>
      </c>
      <c r="F10" s="2">
        <v>50</v>
      </c>
      <c r="G10" s="3" t="s">
        <v>26</v>
      </c>
      <c r="H10" s="3" t="s">
        <v>21</v>
      </c>
      <c r="I10" s="3"/>
      <c r="J10" t="s">
        <v>918</v>
      </c>
      <c r="K10" s="3" t="s">
        <v>33</v>
      </c>
      <c r="L10" s="2" t="s">
        <v>887</v>
      </c>
      <c r="M10" s="2" t="s">
        <v>10</v>
      </c>
      <c r="N10" s="2" t="s">
        <v>18</v>
      </c>
      <c r="O10" s="2" t="s">
        <v>9</v>
      </c>
      <c r="P10" s="2" t="s">
        <v>18</v>
      </c>
      <c r="Q10" s="2" t="s">
        <v>31</v>
      </c>
      <c r="R10" s="2" t="str">
        <f t="shared" si="0"/>
        <v>C-0402-NP0-50-100pF G</v>
      </c>
      <c r="S10" s="2" t="str">
        <f t="shared" si="1"/>
        <v>C-0402-NP0-50-100pF G</v>
      </c>
    </row>
    <row r="11" spans="1:19" s="2" customFormat="1" ht="20.100000000000001" customHeight="1" x14ac:dyDescent="0.25">
      <c r="A11" s="2" t="s">
        <v>167</v>
      </c>
      <c r="B11" s="2" t="s">
        <v>168</v>
      </c>
      <c r="C11" s="3" t="s">
        <v>908</v>
      </c>
      <c r="D11" s="5" t="s">
        <v>9</v>
      </c>
      <c r="E11" s="3" t="s">
        <v>169</v>
      </c>
      <c r="F11" s="2">
        <v>50</v>
      </c>
      <c r="G11" s="3" t="s">
        <v>26</v>
      </c>
      <c r="H11" s="3" t="s">
        <v>22</v>
      </c>
      <c r="I11" s="3"/>
      <c r="J11" t="s">
        <v>918</v>
      </c>
      <c r="K11" s="3" t="s">
        <v>33</v>
      </c>
      <c r="L11" s="2" t="s">
        <v>887</v>
      </c>
      <c r="M11" s="2" t="s">
        <v>10</v>
      </c>
      <c r="N11" s="2" t="s">
        <v>18</v>
      </c>
      <c r="O11" s="5" t="s">
        <v>9</v>
      </c>
      <c r="P11" s="2" t="s">
        <v>18</v>
      </c>
      <c r="Q11" s="2" t="s">
        <v>31</v>
      </c>
      <c r="R11" s="2" t="str">
        <f t="shared" si="0"/>
        <v>C-0402-NP0-50-10pF J</v>
      </c>
      <c r="S11" s="2" t="str">
        <f t="shared" si="1"/>
        <v>C-0402-NP0-50-10pF J</v>
      </c>
    </row>
    <row r="12" spans="1:19" s="2" customFormat="1" ht="20.100000000000001" customHeight="1" x14ac:dyDescent="0.25">
      <c r="A12" s="2" t="s">
        <v>321</v>
      </c>
      <c r="B12" s="2" t="s">
        <v>323</v>
      </c>
      <c r="C12" s="3" t="s">
        <v>908</v>
      </c>
      <c r="D12" s="5" t="s">
        <v>9</v>
      </c>
      <c r="E12" s="3" t="s">
        <v>324</v>
      </c>
      <c r="F12" s="2">
        <v>50</v>
      </c>
      <c r="G12" s="3" t="s">
        <v>26</v>
      </c>
      <c r="H12" s="3" t="s">
        <v>22</v>
      </c>
      <c r="I12" s="3"/>
      <c r="J12" t="s">
        <v>918</v>
      </c>
      <c r="K12" s="3" t="s">
        <v>33</v>
      </c>
      <c r="L12" s="2" t="s">
        <v>887</v>
      </c>
      <c r="M12" s="2" t="s">
        <v>10</v>
      </c>
      <c r="N12" s="2" t="s">
        <v>18</v>
      </c>
      <c r="O12" s="2" t="s">
        <v>9</v>
      </c>
      <c r="P12" s="2" t="s">
        <v>18</v>
      </c>
      <c r="Q12" s="2" t="s">
        <v>31</v>
      </c>
      <c r="R12" s="2" t="str">
        <f t="shared" si="0"/>
        <v>C-0402-NP0-50-390pF J</v>
      </c>
      <c r="S12" s="2" t="str">
        <f t="shared" si="1"/>
        <v>C-0402-NP0-50-390pF J</v>
      </c>
    </row>
    <row r="13" spans="1:19" s="2" customFormat="1" ht="20.100000000000001" customHeight="1" x14ac:dyDescent="0.25">
      <c r="A13" s="2" t="s">
        <v>471</v>
      </c>
      <c r="B13" s="2" t="s">
        <v>473</v>
      </c>
      <c r="C13" s="3" t="s">
        <v>908</v>
      </c>
      <c r="D13" s="5" t="s">
        <v>9</v>
      </c>
      <c r="E13" s="3" t="s">
        <v>474</v>
      </c>
      <c r="F13" s="2">
        <v>50</v>
      </c>
      <c r="G13" s="3" t="s">
        <v>26</v>
      </c>
      <c r="H13" s="3" t="s">
        <v>22</v>
      </c>
      <c r="I13" s="3"/>
      <c r="J13" t="s">
        <v>918</v>
      </c>
      <c r="K13" s="3" t="s">
        <v>33</v>
      </c>
      <c r="L13" s="2" t="s">
        <v>887</v>
      </c>
      <c r="M13" s="2" t="s">
        <v>10</v>
      </c>
      <c r="N13" s="2" t="s">
        <v>18</v>
      </c>
      <c r="O13" s="5" t="s">
        <v>9</v>
      </c>
      <c r="P13" s="2" t="s">
        <v>18</v>
      </c>
      <c r="Q13" s="2" t="s">
        <v>31</v>
      </c>
      <c r="R13" s="2" t="str">
        <f t="shared" si="0"/>
        <v>C-0402-NP0-50-39pF J</v>
      </c>
      <c r="S13" s="2" t="str">
        <f t="shared" si="1"/>
        <v>C-0402-NP0-50-39pF J</v>
      </c>
    </row>
    <row r="14" spans="1:19" s="2" customFormat="1" ht="20.100000000000001" customHeight="1" x14ac:dyDescent="0.25">
      <c r="A14" s="2" t="s">
        <v>485</v>
      </c>
      <c r="B14" s="2" t="s">
        <v>486</v>
      </c>
      <c r="C14" s="3" t="s">
        <v>908</v>
      </c>
      <c r="D14" s="5" t="s">
        <v>9</v>
      </c>
      <c r="E14" s="3" t="s">
        <v>487</v>
      </c>
      <c r="F14" s="2">
        <v>50</v>
      </c>
      <c r="G14" s="3" t="s">
        <v>26</v>
      </c>
      <c r="H14" s="3" t="s">
        <v>959</v>
      </c>
      <c r="I14" s="3"/>
      <c r="J14" t="s">
        <v>918</v>
      </c>
      <c r="K14" s="3" t="s">
        <v>33</v>
      </c>
      <c r="L14" s="2" t="s">
        <v>887</v>
      </c>
      <c r="M14" s="2" t="s">
        <v>10</v>
      </c>
      <c r="N14" s="2" t="s">
        <v>18</v>
      </c>
      <c r="O14" s="5" t="s">
        <v>9</v>
      </c>
      <c r="P14" s="2" t="s">
        <v>18</v>
      </c>
      <c r="Q14" s="2" t="s">
        <v>31</v>
      </c>
      <c r="R14" s="2" t="str">
        <f t="shared" si="0"/>
        <v>C-0402-NP0-50-6pF B</v>
      </c>
      <c r="S14" s="2" t="str">
        <f t="shared" si="1"/>
        <v>C-0402-NP0-50-6pF B</v>
      </c>
    </row>
    <row r="15" spans="1:19" s="2" customFormat="1" ht="20.100000000000001" customHeight="1" x14ac:dyDescent="0.25">
      <c r="A15" s="2" t="s">
        <v>546</v>
      </c>
      <c r="B15" s="2" t="s">
        <v>547</v>
      </c>
      <c r="C15" s="3" t="s">
        <v>908</v>
      </c>
      <c r="D15" s="5" t="s">
        <v>9</v>
      </c>
      <c r="E15" s="3" t="s">
        <v>548</v>
      </c>
      <c r="F15" s="2">
        <v>50</v>
      </c>
      <c r="G15" s="3" t="s">
        <v>26</v>
      </c>
      <c r="H15" s="3" t="s">
        <v>959</v>
      </c>
      <c r="I15" s="3"/>
      <c r="J15" t="s">
        <v>918</v>
      </c>
      <c r="K15" s="3" t="s">
        <v>33</v>
      </c>
      <c r="L15" s="2" t="s">
        <v>887</v>
      </c>
      <c r="M15" s="2" t="s">
        <v>10</v>
      </c>
      <c r="N15" s="2" t="s">
        <v>18</v>
      </c>
      <c r="O15" s="5" t="s">
        <v>9</v>
      </c>
      <c r="P15" s="2" t="s">
        <v>18</v>
      </c>
      <c r="Q15" s="2" t="s">
        <v>31</v>
      </c>
      <c r="R15" s="2" t="str">
        <f t="shared" si="0"/>
        <v>C-0402-NP0-50-4.7pF B</v>
      </c>
      <c r="S15" s="2" t="str">
        <f t="shared" si="1"/>
        <v>C-0402-NP0-50-4.7pF B</v>
      </c>
    </row>
    <row r="16" spans="1:19" s="2" customFormat="1" ht="20.100000000000001" customHeight="1" x14ac:dyDescent="0.25">
      <c r="A16" s="2" t="s">
        <v>841</v>
      </c>
      <c r="B16" s="2" t="s">
        <v>842</v>
      </c>
      <c r="C16" s="3" t="s">
        <v>908</v>
      </c>
      <c r="D16" s="5" t="s">
        <v>9</v>
      </c>
      <c r="E16" s="3" t="s">
        <v>843</v>
      </c>
      <c r="F16" s="2">
        <v>50</v>
      </c>
      <c r="G16" s="3" t="s">
        <v>26</v>
      </c>
      <c r="H16" s="3" t="s">
        <v>22</v>
      </c>
      <c r="I16" s="3"/>
      <c r="J16" t="s">
        <v>918</v>
      </c>
      <c r="K16" s="3" t="s">
        <v>33</v>
      </c>
      <c r="L16" s="2" t="s">
        <v>887</v>
      </c>
      <c r="M16" s="2" t="s">
        <v>10</v>
      </c>
      <c r="N16" s="2" t="s">
        <v>18</v>
      </c>
      <c r="O16" s="2" t="s">
        <v>9</v>
      </c>
      <c r="P16" s="2" t="s">
        <v>18</v>
      </c>
      <c r="Q16" s="2" t="s">
        <v>31</v>
      </c>
      <c r="R16" s="2" t="str">
        <f t="shared" si="0"/>
        <v>C-0402-NP0-50-680pF J</v>
      </c>
      <c r="S16" s="2" t="str">
        <f t="shared" si="1"/>
        <v>C-0402-NP0-50-680pF J</v>
      </c>
    </row>
    <row r="17" spans="1:19" s="2" customFormat="1" ht="20.100000000000001" customHeight="1" x14ac:dyDescent="0.25">
      <c r="A17" s="2" t="s">
        <v>957</v>
      </c>
      <c r="B17" s="2" t="s">
        <v>486</v>
      </c>
      <c r="C17" s="3" t="s">
        <v>908</v>
      </c>
      <c r="D17" s="5" t="s">
        <v>9</v>
      </c>
      <c r="E17" s="3" t="s">
        <v>958</v>
      </c>
      <c r="F17" s="2">
        <v>50</v>
      </c>
      <c r="G17" s="3" t="s">
        <v>26</v>
      </c>
      <c r="H17" s="3" t="s">
        <v>959</v>
      </c>
      <c r="I17" s="3"/>
      <c r="J17" t="s">
        <v>918</v>
      </c>
      <c r="K17" s="3" t="s">
        <v>33</v>
      </c>
      <c r="L17" s="2" t="s">
        <v>887</v>
      </c>
      <c r="M17" s="2" t="s">
        <v>10</v>
      </c>
      <c r="N17" s="2" t="s">
        <v>18</v>
      </c>
      <c r="O17" s="5" t="s">
        <v>9</v>
      </c>
      <c r="P17" s="2" t="s">
        <v>18</v>
      </c>
      <c r="Q17" s="2" t="s">
        <v>31</v>
      </c>
      <c r="R17" s="2" t="str">
        <f t="shared" si="0"/>
        <v>C-0402-NP0-50-5.6pF B</v>
      </c>
      <c r="S17" s="2" t="str">
        <f t="shared" si="1"/>
        <v>C-0402-NP0-50-5.6pF B</v>
      </c>
    </row>
    <row r="18" spans="1:19" s="2" customFormat="1" ht="20.100000000000001" customHeight="1" x14ac:dyDescent="0.25">
      <c r="A18" s="2" t="s">
        <v>963</v>
      </c>
      <c r="B18" s="2" t="s">
        <v>486</v>
      </c>
      <c r="C18" s="3" t="s">
        <v>908</v>
      </c>
      <c r="D18" s="5" t="s">
        <v>9</v>
      </c>
      <c r="E18" s="3" t="s">
        <v>962</v>
      </c>
      <c r="F18" s="2">
        <v>50</v>
      </c>
      <c r="G18" s="3" t="s">
        <v>26</v>
      </c>
      <c r="H18" s="3" t="s">
        <v>22</v>
      </c>
      <c r="I18" s="3"/>
      <c r="J18" t="s">
        <v>918</v>
      </c>
      <c r="K18" s="3" t="s">
        <v>33</v>
      </c>
      <c r="L18" s="2" t="s">
        <v>887</v>
      </c>
      <c r="M18" s="2" t="s">
        <v>10</v>
      </c>
      <c r="N18" s="2" t="s">
        <v>18</v>
      </c>
      <c r="O18" s="5" t="s">
        <v>9</v>
      </c>
      <c r="P18" s="2" t="s">
        <v>18</v>
      </c>
      <c r="Q18" s="2" t="s">
        <v>31</v>
      </c>
      <c r="R18" s="2" t="str">
        <f t="shared" ref="R18" si="2">_xlfn.CONCAT("C-",D18,"-",G18,"-",F18,"-",E18," ", _xlfn.IFS(H18 ="±0,03", "A",H18 ="±0,1", "B", H18 = "±0,25", "C", H18 = "±0,5", "D", H18 = "±1%", "F",H18="±2%","G",H18="±5%", "J", H18="±10%", "K", H18="±20%", "M"))</f>
        <v>C-0402-NP0-50-18pF J</v>
      </c>
      <c r="S18" s="2" t="str">
        <f t="shared" si="1"/>
        <v>C-0402-NP0-50-18pF J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2743A-81A9-4C18-8A65-482AB22C39AA}">
  <dimension ref="A1:L24"/>
  <sheetViews>
    <sheetView zoomScale="85" zoomScaleNormal="85" workbookViewId="0">
      <selection activeCell="K30" sqref="K30"/>
    </sheetView>
  </sheetViews>
  <sheetFormatPr defaultRowHeight="15.75" x14ac:dyDescent="0.25"/>
  <cols>
    <col min="1" max="1" width="29" style="2" customWidth="1"/>
    <col min="2" max="2" width="21.5" style="2" customWidth="1"/>
    <col min="3" max="3" width="16.25" style="2" bestFit="1" customWidth="1"/>
    <col min="4" max="4" width="18.375" style="2" customWidth="1"/>
    <col min="5" max="5" width="10.875" style="2" customWidth="1"/>
    <col min="6" max="6" width="10.125" style="2" bestFit="1" customWidth="1"/>
    <col min="7" max="7" width="30" style="2" bestFit="1" customWidth="1"/>
    <col min="8" max="8" width="16.125" style="2" customWidth="1"/>
    <col min="9" max="9" width="23" style="2" customWidth="1"/>
    <col min="10" max="10" width="13.5" style="2" customWidth="1"/>
    <col min="11" max="11" width="28.125" style="2" customWidth="1"/>
    <col min="12" max="12" width="28.625" style="2" customWidth="1"/>
    <col min="13" max="16384" width="9" style="2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92</v>
      </c>
      <c r="F1" s="13" t="s">
        <v>93</v>
      </c>
      <c r="G1" s="13" t="s">
        <v>5</v>
      </c>
      <c r="H1" s="13" t="s">
        <v>6</v>
      </c>
      <c r="I1" s="13" t="s">
        <v>7</v>
      </c>
      <c r="J1" s="13" t="s">
        <v>8</v>
      </c>
      <c r="K1" s="22" t="s">
        <v>29</v>
      </c>
      <c r="L1" s="26" t="s">
        <v>36</v>
      </c>
    </row>
    <row r="2" spans="1:12" x14ac:dyDescent="0.25">
      <c r="A2" s="2" t="s">
        <v>89</v>
      </c>
      <c r="B2" s="2" t="s">
        <v>90</v>
      </c>
      <c r="C2" s="2" t="s">
        <v>91</v>
      </c>
      <c r="D2" s="2" t="s">
        <v>97</v>
      </c>
      <c r="E2" s="2" t="s">
        <v>94</v>
      </c>
      <c r="F2" s="5" t="s">
        <v>95</v>
      </c>
      <c r="G2" s="2" t="s">
        <v>893</v>
      </c>
      <c r="H2" s="2" t="s">
        <v>96</v>
      </c>
      <c r="I2" s="13" t="s">
        <v>888</v>
      </c>
      <c r="J2" s="2" t="s">
        <v>97</v>
      </c>
      <c r="K2" s="2" t="str">
        <f t="shared" ref="K2:K14" si="0">_xlfn.CONCAT("D-",A2)</f>
        <v>D-LM2664M6X</v>
      </c>
      <c r="L2" s="2" t="str">
        <f t="shared" ref="L2:L14" si="1">K2</f>
        <v>D-LM2664M6X</v>
      </c>
    </row>
    <row r="3" spans="1:12" x14ac:dyDescent="0.25">
      <c r="A3" s="2" t="s">
        <v>98</v>
      </c>
      <c r="B3" s="2" t="s">
        <v>99</v>
      </c>
      <c r="C3" s="2" t="s">
        <v>100</v>
      </c>
      <c r="D3" s="2" t="s">
        <v>101</v>
      </c>
      <c r="E3" s="2" t="s">
        <v>102</v>
      </c>
      <c r="F3" s="2">
        <v>5</v>
      </c>
      <c r="G3" s="2" t="s">
        <v>894</v>
      </c>
      <c r="H3" s="2" t="s">
        <v>103</v>
      </c>
      <c r="I3" s="13" t="s">
        <v>888</v>
      </c>
      <c r="J3" s="2" t="s">
        <v>101</v>
      </c>
      <c r="K3" s="2" t="str">
        <f t="shared" si="0"/>
        <v>D-LP5912-5.0DRVR</v>
      </c>
      <c r="L3" s="2" t="str">
        <f t="shared" si="1"/>
        <v>D-LP5912-5.0DRVR</v>
      </c>
    </row>
    <row r="4" spans="1:12" x14ac:dyDescent="0.25">
      <c r="A4" s="2" t="s">
        <v>107</v>
      </c>
      <c r="B4" s="2" t="s">
        <v>108</v>
      </c>
      <c r="C4" s="2" t="s">
        <v>91</v>
      </c>
      <c r="D4" s="2" t="s">
        <v>109</v>
      </c>
      <c r="E4" s="2" t="s">
        <v>105</v>
      </c>
      <c r="F4" s="2" t="s">
        <v>106</v>
      </c>
      <c r="G4" s="2" t="s">
        <v>894</v>
      </c>
      <c r="H4" s="2" t="s">
        <v>104</v>
      </c>
      <c r="I4" s="13" t="s">
        <v>888</v>
      </c>
      <c r="J4" s="2" t="s">
        <v>873</v>
      </c>
      <c r="K4" s="2" t="str">
        <f t="shared" si="0"/>
        <v>D-LT1764EFE#PBF</v>
      </c>
      <c r="L4" s="2" t="str">
        <f t="shared" si="1"/>
        <v>D-LT1764EFE#PBF</v>
      </c>
    </row>
    <row r="5" spans="1:12" x14ac:dyDescent="0.25">
      <c r="A5" s="2" t="s">
        <v>145</v>
      </c>
      <c r="B5" s="2" t="s">
        <v>110</v>
      </c>
      <c r="C5" s="2" t="s">
        <v>100</v>
      </c>
      <c r="D5" s="2" t="s">
        <v>111</v>
      </c>
      <c r="E5" s="2" t="s">
        <v>112</v>
      </c>
      <c r="F5" s="2" t="s">
        <v>113</v>
      </c>
      <c r="G5" s="2" t="s">
        <v>893</v>
      </c>
      <c r="H5" s="2" t="s">
        <v>114</v>
      </c>
      <c r="I5" s="13" t="s">
        <v>888</v>
      </c>
      <c r="J5" s="2" t="s">
        <v>111</v>
      </c>
      <c r="K5" s="2" t="str">
        <f t="shared" si="0"/>
        <v xml:space="preserve">D-LM2585S-ADJ/NOPB </v>
      </c>
      <c r="L5" s="2" t="str">
        <f t="shared" si="1"/>
        <v xml:space="preserve">D-LM2585S-ADJ/NOPB </v>
      </c>
    </row>
    <row r="6" spans="1:12" x14ac:dyDescent="0.25">
      <c r="A6" s="2" t="s">
        <v>115</v>
      </c>
      <c r="B6" s="2" t="s">
        <v>116</v>
      </c>
      <c r="C6" s="2" t="s">
        <v>100</v>
      </c>
      <c r="D6" s="2" t="s">
        <v>200</v>
      </c>
      <c r="E6" s="19" t="s">
        <v>117</v>
      </c>
      <c r="F6" s="2" t="s">
        <v>118</v>
      </c>
      <c r="G6" s="2" t="s">
        <v>893</v>
      </c>
      <c r="H6" s="2" t="s">
        <v>119</v>
      </c>
      <c r="I6" s="13" t="s">
        <v>888</v>
      </c>
      <c r="J6" s="2" t="s">
        <v>200</v>
      </c>
      <c r="K6" s="2" t="str">
        <f t="shared" si="0"/>
        <v>D-TPS54332DDAR</v>
      </c>
      <c r="L6" s="2" t="str">
        <f t="shared" si="1"/>
        <v>D-TPS54332DDAR</v>
      </c>
    </row>
    <row r="7" spans="1:12" x14ac:dyDescent="0.25">
      <c r="A7" s="2" t="s">
        <v>120</v>
      </c>
      <c r="B7" s="2" t="s">
        <v>121</v>
      </c>
      <c r="C7" s="2" t="s">
        <v>91</v>
      </c>
      <c r="D7" s="2" t="s">
        <v>122</v>
      </c>
      <c r="E7" s="2" t="s">
        <v>123</v>
      </c>
      <c r="F7" s="2" t="s">
        <v>124</v>
      </c>
      <c r="G7" s="2" t="s">
        <v>894</v>
      </c>
      <c r="H7" s="2" t="s">
        <v>125</v>
      </c>
      <c r="I7" s="13" t="s">
        <v>888</v>
      </c>
      <c r="J7" s="2" t="s">
        <v>201</v>
      </c>
      <c r="K7" s="2" t="str">
        <f t="shared" si="0"/>
        <v>D-LT1965EDD#PBF</v>
      </c>
      <c r="L7" s="2" t="str">
        <f t="shared" si="1"/>
        <v>D-LT1965EDD#PBF</v>
      </c>
    </row>
    <row r="8" spans="1:12" x14ac:dyDescent="0.25">
      <c r="A8" s="2" t="s">
        <v>263</v>
      </c>
      <c r="B8" s="2" t="s">
        <v>264</v>
      </c>
      <c r="C8" s="2" t="s">
        <v>100</v>
      </c>
      <c r="D8" s="2" t="s">
        <v>265</v>
      </c>
      <c r="E8" s="2" t="s">
        <v>266</v>
      </c>
      <c r="F8" s="5" t="s">
        <v>267</v>
      </c>
      <c r="G8" s="2" t="s">
        <v>893</v>
      </c>
      <c r="H8" s="2" t="s">
        <v>263</v>
      </c>
      <c r="I8" s="13" t="s">
        <v>888</v>
      </c>
      <c r="J8" s="2" t="s">
        <v>292</v>
      </c>
      <c r="K8" s="2" t="str">
        <f t="shared" si="0"/>
        <v>D-TPS82140SILT</v>
      </c>
      <c r="L8" s="2" t="str">
        <f t="shared" si="1"/>
        <v>D-TPS82140SILT</v>
      </c>
    </row>
    <row r="9" spans="1:12" x14ac:dyDescent="0.25">
      <c r="A9" s="20" t="s">
        <v>363</v>
      </c>
      <c r="B9" s="2" t="s">
        <v>364</v>
      </c>
      <c r="C9" s="2" t="s">
        <v>100</v>
      </c>
      <c r="D9" s="2" t="s">
        <v>365</v>
      </c>
      <c r="E9" s="2" t="s">
        <v>366</v>
      </c>
      <c r="F9" s="5" t="s">
        <v>367</v>
      </c>
      <c r="G9" s="2" t="s">
        <v>894</v>
      </c>
      <c r="H9" s="2" t="s">
        <v>363</v>
      </c>
      <c r="I9" s="13" t="s">
        <v>888</v>
      </c>
      <c r="J9" s="2" t="s">
        <v>365</v>
      </c>
      <c r="K9" s="2" t="str">
        <f t="shared" si="0"/>
        <v>D-LM27762DSS</v>
      </c>
      <c r="L9" s="2" t="str">
        <f t="shared" si="1"/>
        <v>D-LM27762DSS</v>
      </c>
    </row>
    <row r="10" spans="1:12" x14ac:dyDescent="0.25">
      <c r="A10" s="2" t="s">
        <v>406</v>
      </c>
      <c r="B10" s="2" t="s">
        <v>437</v>
      </c>
      <c r="C10" s="2" t="s">
        <v>91</v>
      </c>
      <c r="D10" s="2" t="s">
        <v>407</v>
      </c>
      <c r="E10" s="2" t="s">
        <v>408</v>
      </c>
      <c r="F10" s="2" t="s">
        <v>409</v>
      </c>
      <c r="G10" s="2" t="s">
        <v>893</v>
      </c>
      <c r="H10" s="2" t="s">
        <v>406</v>
      </c>
      <c r="I10" s="13" t="s">
        <v>888</v>
      </c>
      <c r="K10" s="2" t="str">
        <f t="shared" si="0"/>
        <v>D-ADP5054ACPZ</v>
      </c>
      <c r="L10" s="2" t="str">
        <f t="shared" si="1"/>
        <v>D-ADP5054ACPZ</v>
      </c>
    </row>
    <row r="11" spans="1:12" x14ac:dyDescent="0.25">
      <c r="A11" s="2" t="s">
        <v>430</v>
      </c>
      <c r="B11" s="2" t="s">
        <v>436</v>
      </c>
      <c r="C11" s="2" t="s">
        <v>91</v>
      </c>
      <c r="D11" s="2" t="s">
        <v>431</v>
      </c>
      <c r="E11" s="2" t="s">
        <v>432</v>
      </c>
      <c r="F11" s="2" t="s">
        <v>433</v>
      </c>
      <c r="G11" s="2" t="s">
        <v>894</v>
      </c>
      <c r="H11" s="2" t="s">
        <v>430</v>
      </c>
      <c r="I11" s="13" t="s">
        <v>888</v>
      </c>
      <c r="K11" s="2" t="str">
        <f t="shared" si="0"/>
        <v>D-ADP1763ACPZ</v>
      </c>
      <c r="L11" s="2" t="str">
        <f t="shared" si="1"/>
        <v>D-ADP1763ACPZ</v>
      </c>
    </row>
    <row r="12" spans="1:12" x14ac:dyDescent="0.25">
      <c r="A12" s="2" t="s">
        <v>821</v>
      </c>
      <c r="B12" s="2" t="s">
        <v>725</v>
      </c>
      <c r="C12" s="2" t="s">
        <v>91</v>
      </c>
      <c r="D12" s="2" t="s">
        <v>435</v>
      </c>
      <c r="E12" s="2" t="s">
        <v>438</v>
      </c>
      <c r="F12" s="2" t="s">
        <v>439</v>
      </c>
      <c r="G12" s="2" t="s">
        <v>894</v>
      </c>
      <c r="H12" s="2" t="s">
        <v>434</v>
      </c>
      <c r="I12" s="13" t="s">
        <v>888</v>
      </c>
      <c r="J12" s="2" t="s">
        <v>880</v>
      </c>
      <c r="K12" s="2" t="str">
        <f t="shared" si="0"/>
        <v>D-ADM7172ACPZ-R7</v>
      </c>
      <c r="L12" s="2" t="str">
        <f t="shared" si="1"/>
        <v>D-ADM7172ACPZ-R7</v>
      </c>
    </row>
    <row r="13" spans="1:12" x14ac:dyDescent="0.25">
      <c r="A13" s="2" t="s">
        <v>460</v>
      </c>
      <c r="B13" s="2" t="s">
        <v>461</v>
      </c>
      <c r="C13" s="2" t="s">
        <v>91</v>
      </c>
      <c r="D13" s="2" t="s">
        <v>435</v>
      </c>
      <c r="E13" s="2" t="s">
        <v>462</v>
      </c>
      <c r="F13" s="6" t="s">
        <v>463</v>
      </c>
      <c r="G13" s="2" t="s">
        <v>894</v>
      </c>
      <c r="H13" s="2" t="s">
        <v>460</v>
      </c>
      <c r="I13" s="13" t="s">
        <v>888</v>
      </c>
      <c r="J13" s="2" t="s">
        <v>880</v>
      </c>
      <c r="K13" s="2" t="str">
        <f t="shared" si="0"/>
        <v>D-ADM7150ACPZ-3.3</v>
      </c>
      <c r="L13" s="2" t="str">
        <f t="shared" si="1"/>
        <v>D-ADM7150ACPZ-3.3</v>
      </c>
    </row>
    <row r="14" spans="1:12" x14ac:dyDescent="0.25">
      <c r="A14" s="2" t="s">
        <v>466</v>
      </c>
      <c r="B14" s="2" t="s">
        <v>465</v>
      </c>
      <c r="C14" s="2" t="s">
        <v>467</v>
      </c>
      <c r="D14" s="2" t="s">
        <v>468</v>
      </c>
      <c r="E14" s="2" t="s">
        <v>919</v>
      </c>
      <c r="F14" s="2" t="s">
        <v>920</v>
      </c>
      <c r="G14" s="2" t="s">
        <v>894</v>
      </c>
      <c r="H14" s="2" t="s">
        <v>464</v>
      </c>
      <c r="I14" s="13" t="s">
        <v>888</v>
      </c>
      <c r="K14" s="2" t="str">
        <f t="shared" si="0"/>
        <v>D-SGM2208XTDF12G/TR</v>
      </c>
      <c r="L14" s="2" t="str">
        <f t="shared" si="1"/>
        <v>D-SGM2208XTDF12G/TR</v>
      </c>
    </row>
    <row r="15" spans="1:12" x14ac:dyDescent="0.25">
      <c r="A15" s="2" t="s">
        <v>497</v>
      </c>
      <c r="B15" s="2" t="s">
        <v>461</v>
      </c>
      <c r="C15" s="2" t="s">
        <v>91</v>
      </c>
      <c r="D15" s="2" t="s">
        <v>435</v>
      </c>
      <c r="E15" s="2" t="s">
        <v>498</v>
      </c>
      <c r="F15" s="6" t="s">
        <v>499</v>
      </c>
      <c r="G15" s="2" t="s">
        <v>894</v>
      </c>
      <c r="H15" s="2" t="s">
        <v>496</v>
      </c>
      <c r="I15" s="13" t="s">
        <v>888</v>
      </c>
      <c r="K15" s="2" t="str">
        <f t="shared" ref="K15:K24" si="2">_xlfn.CONCAT("D-",A15)</f>
        <v>D-ADM7154ACPZ-1.8-R7</v>
      </c>
      <c r="L15" s="2" t="str">
        <f t="shared" ref="L15:L24" si="3">K15</f>
        <v>D-ADM7154ACPZ-1.8-R7</v>
      </c>
    </row>
    <row r="16" spans="1:12" x14ac:dyDescent="0.25">
      <c r="A16" s="2" t="s">
        <v>508</v>
      </c>
      <c r="B16" s="2" t="s">
        <v>509</v>
      </c>
      <c r="C16" s="2" t="s">
        <v>91</v>
      </c>
      <c r="D16" s="2" t="s">
        <v>510</v>
      </c>
      <c r="E16" s="2" t="s">
        <v>511</v>
      </c>
      <c r="F16" s="2" t="s">
        <v>921</v>
      </c>
      <c r="G16" s="2" t="s">
        <v>893</v>
      </c>
      <c r="H16" s="2" t="s">
        <v>508</v>
      </c>
      <c r="I16" s="13" t="s">
        <v>888</v>
      </c>
      <c r="K16" s="2" t="str">
        <f t="shared" si="2"/>
        <v>D-LT8612EUDE</v>
      </c>
      <c r="L16" s="2" t="str">
        <f t="shared" si="3"/>
        <v>D-LT8612EUDE</v>
      </c>
    </row>
    <row r="17" spans="1:12" x14ac:dyDescent="0.25">
      <c r="A17" s="2" t="s">
        <v>623</v>
      </c>
      <c r="B17" s="2" t="s">
        <v>626</v>
      </c>
      <c r="C17" s="2" t="s">
        <v>91</v>
      </c>
      <c r="D17" s="2" t="s">
        <v>627</v>
      </c>
      <c r="E17" s="2" t="s">
        <v>628</v>
      </c>
      <c r="F17" s="6" t="s">
        <v>629</v>
      </c>
      <c r="G17" s="2" t="s">
        <v>894</v>
      </c>
      <c r="H17" s="2" t="s">
        <v>623</v>
      </c>
      <c r="I17" s="13" t="s">
        <v>888</v>
      </c>
      <c r="K17" s="2" t="str">
        <f t="shared" si="2"/>
        <v>D-ADP151AUJZ-2.5</v>
      </c>
      <c r="L17" s="2" t="str">
        <f t="shared" si="3"/>
        <v>D-ADP151AUJZ-2.5</v>
      </c>
    </row>
    <row r="18" spans="1:12" x14ac:dyDescent="0.25">
      <c r="A18" s="2" t="s">
        <v>624</v>
      </c>
      <c r="B18" s="2" t="s">
        <v>630</v>
      </c>
      <c r="C18" s="2" t="s">
        <v>100</v>
      </c>
      <c r="D18" s="2" t="s">
        <v>631</v>
      </c>
      <c r="E18" s="2" t="s">
        <v>634</v>
      </c>
      <c r="F18" s="6" t="s">
        <v>633</v>
      </c>
      <c r="G18" s="2" t="s">
        <v>894</v>
      </c>
      <c r="H18" s="2" t="s">
        <v>624</v>
      </c>
      <c r="I18" s="13" t="s">
        <v>888</v>
      </c>
      <c r="J18" s="2" t="s">
        <v>865</v>
      </c>
      <c r="K18" s="2" t="str">
        <f t="shared" si="2"/>
        <v>D-TLV73310PDBVR</v>
      </c>
      <c r="L18" s="2" t="str">
        <f t="shared" si="3"/>
        <v>D-TLV73310PDBVR</v>
      </c>
    </row>
    <row r="19" spans="1:12" x14ac:dyDescent="0.25">
      <c r="A19" s="2" t="s">
        <v>625</v>
      </c>
      <c r="B19" s="2" t="s">
        <v>632</v>
      </c>
      <c r="C19" s="2" t="s">
        <v>100</v>
      </c>
      <c r="D19" s="2" t="s">
        <v>631</v>
      </c>
      <c r="E19" s="2" t="s">
        <v>628</v>
      </c>
      <c r="F19" s="6" t="s">
        <v>499</v>
      </c>
      <c r="G19" s="2" t="s">
        <v>894</v>
      </c>
      <c r="H19" s="2" t="s">
        <v>625</v>
      </c>
      <c r="I19" s="13" t="s">
        <v>888</v>
      </c>
      <c r="J19" s="2" t="s">
        <v>865</v>
      </c>
      <c r="K19" s="2" t="str">
        <f t="shared" si="2"/>
        <v>D-TLV73318PDBVR</v>
      </c>
      <c r="L19" s="2" t="str">
        <f t="shared" si="3"/>
        <v>D-TLV73318PDBVR</v>
      </c>
    </row>
    <row r="20" spans="1:12" x14ac:dyDescent="0.25">
      <c r="A20" s="2" t="s">
        <v>726</v>
      </c>
      <c r="B20" s="2" t="s">
        <v>727</v>
      </c>
      <c r="C20" s="2" t="s">
        <v>100</v>
      </c>
      <c r="D20" s="2" t="s">
        <v>728</v>
      </c>
      <c r="E20" s="2" t="s">
        <v>729</v>
      </c>
      <c r="F20" s="2" t="s">
        <v>730</v>
      </c>
      <c r="G20" s="2" t="s">
        <v>893</v>
      </c>
      <c r="H20" s="2" t="s">
        <v>726</v>
      </c>
      <c r="I20" s="13" t="s">
        <v>888</v>
      </c>
      <c r="K20" s="2" t="str">
        <f t="shared" si="2"/>
        <v>D-TPS54394RSAR</v>
      </c>
      <c r="L20" s="2" t="str">
        <f t="shared" si="3"/>
        <v>D-TPS54394RSAR</v>
      </c>
    </row>
    <row r="21" spans="1:12" x14ac:dyDescent="0.25">
      <c r="A21" s="2" t="s">
        <v>755</v>
      </c>
      <c r="B21" s="2" t="s">
        <v>756</v>
      </c>
      <c r="C21" s="2" t="s">
        <v>100</v>
      </c>
      <c r="D21" s="2" t="s">
        <v>757</v>
      </c>
      <c r="E21" s="2" t="s">
        <v>758</v>
      </c>
      <c r="F21" s="18" t="s">
        <v>759</v>
      </c>
      <c r="G21" s="2" t="s">
        <v>893</v>
      </c>
      <c r="H21" s="2" t="s">
        <v>760</v>
      </c>
      <c r="I21" s="13" t="s">
        <v>888</v>
      </c>
      <c r="J21" s="2" t="s">
        <v>993</v>
      </c>
      <c r="K21" s="2" t="str">
        <f t="shared" si="2"/>
        <v>D-TPS566238RQFR</v>
      </c>
      <c r="L21" s="2" t="str">
        <f t="shared" si="3"/>
        <v>D-TPS566238RQFR</v>
      </c>
    </row>
    <row r="22" spans="1:12" x14ac:dyDescent="0.25">
      <c r="A22" s="2" t="s">
        <v>784</v>
      </c>
      <c r="B22" s="2" t="s">
        <v>785</v>
      </c>
      <c r="C22" s="2" t="s">
        <v>100</v>
      </c>
      <c r="D22" s="2" t="s">
        <v>786</v>
      </c>
      <c r="E22" s="2" t="s">
        <v>787</v>
      </c>
      <c r="F22" s="18" t="s">
        <v>788</v>
      </c>
      <c r="G22" s="2" t="s">
        <v>894</v>
      </c>
      <c r="H22" s="2" t="s">
        <v>789</v>
      </c>
      <c r="I22" s="13" t="s">
        <v>888</v>
      </c>
      <c r="J22" s="2" t="s">
        <v>994</v>
      </c>
      <c r="K22" s="2" t="str">
        <f t="shared" si="2"/>
        <v>D-TPS7A5401RPSR</v>
      </c>
      <c r="L22" s="2" t="str">
        <f t="shared" si="3"/>
        <v>D-TPS7A5401RPSR</v>
      </c>
    </row>
    <row r="23" spans="1:12" x14ac:dyDescent="0.25">
      <c r="A23" s="2" t="s">
        <v>830</v>
      </c>
      <c r="B23" s="2" t="s">
        <v>831</v>
      </c>
      <c r="C23" s="2" t="s">
        <v>91</v>
      </c>
      <c r="D23" s="2" t="s">
        <v>832</v>
      </c>
      <c r="E23" s="2" t="s">
        <v>833</v>
      </c>
      <c r="F23" s="2">
        <v>1</v>
      </c>
      <c r="G23" s="2" t="s">
        <v>893</v>
      </c>
      <c r="H23" s="2" t="s">
        <v>834</v>
      </c>
      <c r="I23" s="13" t="s">
        <v>888</v>
      </c>
      <c r="J23" s="2" t="s">
        <v>879</v>
      </c>
      <c r="K23" s="2" t="str">
        <f t="shared" si="2"/>
        <v>D-ADP2166ACPZ-1.0-R7</v>
      </c>
      <c r="L23" s="2" t="str">
        <f t="shared" si="3"/>
        <v>D-ADP2166ACPZ-1.0-R7</v>
      </c>
    </row>
    <row r="24" spans="1:12" x14ac:dyDescent="0.25">
      <c r="A24" s="2" t="s">
        <v>847</v>
      </c>
      <c r="B24" s="2" t="s">
        <v>725</v>
      </c>
      <c r="C24" s="2" t="s">
        <v>91</v>
      </c>
      <c r="D24" s="2" t="s">
        <v>435</v>
      </c>
      <c r="E24" s="2" t="s">
        <v>438</v>
      </c>
      <c r="F24" s="2" t="s">
        <v>439</v>
      </c>
      <c r="G24" s="2" t="s">
        <v>894</v>
      </c>
      <c r="H24" s="2" t="s">
        <v>434</v>
      </c>
      <c r="I24" s="13" t="s">
        <v>888</v>
      </c>
      <c r="J24" s="2" t="s">
        <v>880</v>
      </c>
      <c r="K24" s="2" t="str">
        <f t="shared" si="2"/>
        <v>D-ADM7170ACPZ-R7</v>
      </c>
      <c r="L24" s="2" t="str">
        <f t="shared" si="3"/>
        <v>D-ADM7170ACPZ-R7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531C5-FF99-4DE6-90F6-D20DBFB61F6B}">
  <dimension ref="A1:L70"/>
  <sheetViews>
    <sheetView topLeftCell="A22" zoomScale="70" zoomScaleNormal="70" workbookViewId="0">
      <selection activeCell="I76" sqref="I76"/>
    </sheetView>
  </sheetViews>
  <sheetFormatPr defaultColWidth="11" defaultRowHeight="15.75" x14ac:dyDescent="0.25"/>
  <cols>
    <col min="1" max="1" width="22" style="1" customWidth="1"/>
    <col min="2" max="2" width="48.25" style="1" customWidth="1"/>
    <col min="3" max="3" width="13.75" style="1" customWidth="1"/>
    <col min="4" max="4" width="8.375" style="1" customWidth="1"/>
    <col min="5" max="5" width="7" style="1" customWidth="1"/>
    <col min="6" max="6" width="9.875" customWidth="1"/>
    <col min="7" max="7" width="27.875" style="1" customWidth="1"/>
    <col min="8" max="8" width="10.875" style="1" customWidth="1"/>
    <col min="9" max="9" width="35.625" style="1" customWidth="1"/>
    <col min="10" max="10" width="21" style="1" customWidth="1"/>
    <col min="11" max="11" width="23" style="1" customWidth="1"/>
    <col min="12" max="12" width="24.5" style="1" customWidth="1"/>
    <col min="13" max="16384" width="11" style="1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17</v>
      </c>
      <c r="G1" s="13" t="s">
        <v>5</v>
      </c>
      <c r="H1" s="13" t="s">
        <v>6</v>
      </c>
      <c r="I1" s="13" t="s">
        <v>7</v>
      </c>
      <c r="J1" s="13" t="s">
        <v>8</v>
      </c>
      <c r="K1" s="22" t="s">
        <v>29</v>
      </c>
      <c r="L1" s="22" t="s">
        <v>36</v>
      </c>
    </row>
    <row r="2" spans="1:12" x14ac:dyDescent="0.25">
      <c r="A2" s="13" t="s">
        <v>134</v>
      </c>
      <c r="B2" s="3" t="s">
        <v>135</v>
      </c>
      <c r="C2" s="13" t="s">
        <v>128</v>
      </c>
      <c r="D2" s="5" t="s">
        <v>9</v>
      </c>
      <c r="E2" s="13" t="s">
        <v>136</v>
      </c>
      <c r="F2" s="23" t="s">
        <v>20</v>
      </c>
      <c r="G2" s="13" t="s">
        <v>890</v>
      </c>
      <c r="H2" s="13" t="s">
        <v>129</v>
      </c>
      <c r="I2" s="13" t="s">
        <v>889</v>
      </c>
      <c r="J2" s="13" t="s">
        <v>9</v>
      </c>
      <c r="K2" s="14" t="str">
        <f t="shared" ref="K2:K34" si="0">_xlfn.CONCAT("R-", D2,"-",E2," ",_xlfn.IFS(F2 ="±0,1", "B", F2 = "±0,25", "C", F2 = "±0,5", "D", F2 = "±1%", "F",F2="±2%","G",F2="±5%", "J", F2="±10%", "K", F2="±20%", "M"))</f>
        <v>R-0402-0R F</v>
      </c>
      <c r="L2" s="13" t="str">
        <f t="shared" ref="L2:L34" si="1">K2</f>
        <v>R-0402-0R F</v>
      </c>
    </row>
    <row r="3" spans="1:12" x14ac:dyDescent="0.25">
      <c r="A3" s="13" t="s">
        <v>268</v>
      </c>
      <c r="B3" s="3" t="s">
        <v>269</v>
      </c>
      <c r="C3" s="13" t="s">
        <v>128</v>
      </c>
      <c r="D3" s="13" t="s">
        <v>12</v>
      </c>
      <c r="E3" s="13" t="s">
        <v>136</v>
      </c>
      <c r="F3" s="23" t="s">
        <v>20</v>
      </c>
      <c r="G3" s="13" t="s">
        <v>890</v>
      </c>
      <c r="H3" s="13" t="s">
        <v>129</v>
      </c>
      <c r="I3" s="13" t="s">
        <v>889</v>
      </c>
      <c r="J3" s="13" t="s">
        <v>12</v>
      </c>
      <c r="K3" s="14" t="str">
        <f t="shared" si="0"/>
        <v>R-0805-0R F</v>
      </c>
      <c r="L3" s="13" t="str">
        <f t="shared" si="1"/>
        <v>R-0805-0R F</v>
      </c>
    </row>
    <row r="4" spans="1:12" x14ac:dyDescent="0.25">
      <c r="A4" s="13" t="s">
        <v>354</v>
      </c>
      <c r="B4" s="3" t="s">
        <v>369</v>
      </c>
      <c r="C4" s="13" t="s">
        <v>128</v>
      </c>
      <c r="D4" s="5" t="s">
        <v>9</v>
      </c>
      <c r="E4" s="13" t="s">
        <v>355</v>
      </c>
      <c r="F4" s="23" t="s">
        <v>20</v>
      </c>
      <c r="G4" s="13" t="s">
        <v>890</v>
      </c>
      <c r="H4" s="13" t="s">
        <v>129</v>
      </c>
      <c r="I4" s="13" t="s">
        <v>889</v>
      </c>
      <c r="J4" s="13" t="s">
        <v>9</v>
      </c>
      <c r="K4" s="14" t="str">
        <f t="shared" si="0"/>
        <v>R-0402-100K F</v>
      </c>
      <c r="L4" s="13" t="str">
        <f t="shared" si="1"/>
        <v>R-0402-100K F</v>
      </c>
    </row>
    <row r="5" spans="1:12" x14ac:dyDescent="0.25">
      <c r="A5" s="13" t="s">
        <v>331</v>
      </c>
      <c r="B5" s="3" t="s">
        <v>332</v>
      </c>
      <c r="C5" s="13" t="s">
        <v>128</v>
      </c>
      <c r="D5" s="5" t="s">
        <v>9</v>
      </c>
      <c r="E5" s="13" t="s">
        <v>333</v>
      </c>
      <c r="F5" s="23" t="s">
        <v>20</v>
      </c>
      <c r="G5" s="13" t="s">
        <v>890</v>
      </c>
      <c r="H5" s="13" t="s">
        <v>129</v>
      </c>
      <c r="I5" s="13" t="s">
        <v>889</v>
      </c>
      <c r="J5" s="13" t="s">
        <v>9</v>
      </c>
      <c r="K5" s="14" t="str">
        <f t="shared" si="0"/>
        <v>R-0402-100R F</v>
      </c>
      <c r="L5" s="13" t="str">
        <f t="shared" si="1"/>
        <v>R-0402-100R F</v>
      </c>
    </row>
    <row r="6" spans="1:12" x14ac:dyDescent="0.25">
      <c r="A6" s="13" t="s">
        <v>131</v>
      </c>
      <c r="B6" s="3" t="s">
        <v>132</v>
      </c>
      <c r="C6" s="13" t="s">
        <v>128</v>
      </c>
      <c r="D6" s="5" t="s">
        <v>9</v>
      </c>
      <c r="E6" s="13" t="s">
        <v>133</v>
      </c>
      <c r="F6" s="23" t="s">
        <v>20</v>
      </c>
      <c r="G6" s="13" t="s">
        <v>890</v>
      </c>
      <c r="H6" s="13" t="s">
        <v>129</v>
      </c>
      <c r="I6" s="13" t="s">
        <v>889</v>
      </c>
      <c r="J6" s="13" t="s">
        <v>9</v>
      </c>
      <c r="K6" s="14" t="str">
        <f t="shared" si="0"/>
        <v>R-0402-10K F</v>
      </c>
      <c r="L6" s="13" t="str">
        <f t="shared" si="1"/>
        <v>R-0402-10K F</v>
      </c>
    </row>
    <row r="7" spans="1:12" x14ac:dyDescent="0.25">
      <c r="A7" s="13" t="s">
        <v>156</v>
      </c>
      <c r="B7" s="13" t="s">
        <v>737</v>
      </c>
      <c r="C7" s="13" t="s">
        <v>128</v>
      </c>
      <c r="D7" s="13" t="s">
        <v>9</v>
      </c>
      <c r="E7" s="13" t="s">
        <v>157</v>
      </c>
      <c r="F7" s="23" t="s">
        <v>20</v>
      </c>
      <c r="G7" s="13" t="s">
        <v>890</v>
      </c>
      <c r="H7" s="13" t="s">
        <v>129</v>
      </c>
      <c r="I7" s="13" t="s">
        <v>889</v>
      </c>
      <c r="J7" s="13" t="s">
        <v>9</v>
      </c>
      <c r="K7" s="14" t="str">
        <f t="shared" si="0"/>
        <v>R-0402-10K2 F</v>
      </c>
      <c r="L7" s="13" t="str">
        <f t="shared" si="1"/>
        <v>R-0402-10K2 F</v>
      </c>
    </row>
    <row r="8" spans="1:12" x14ac:dyDescent="0.25">
      <c r="A8" s="13" t="s">
        <v>154</v>
      </c>
      <c r="B8" s="13" t="s">
        <v>738</v>
      </c>
      <c r="C8" s="13" t="s">
        <v>128</v>
      </c>
      <c r="D8" s="5" t="s">
        <v>9</v>
      </c>
      <c r="E8" s="13" t="s">
        <v>155</v>
      </c>
      <c r="F8" s="23" t="s">
        <v>20</v>
      </c>
      <c r="G8" s="13" t="s">
        <v>890</v>
      </c>
      <c r="H8" s="13" t="s">
        <v>129</v>
      </c>
      <c r="I8" s="13" t="s">
        <v>889</v>
      </c>
      <c r="J8" s="13" t="s">
        <v>9</v>
      </c>
      <c r="K8" s="14" t="str">
        <f t="shared" si="0"/>
        <v>R-0402-10K7 F</v>
      </c>
      <c r="L8" s="13" t="str">
        <f t="shared" si="1"/>
        <v>R-0402-10K7 F</v>
      </c>
    </row>
    <row r="9" spans="1:12" x14ac:dyDescent="0.25">
      <c r="A9" s="13" t="s">
        <v>419</v>
      </c>
      <c r="B9" s="13" t="s">
        <v>562</v>
      </c>
      <c r="C9" s="13" t="s">
        <v>128</v>
      </c>
      <c r="D9" s="13" t="s">
        <v>9</v>
      </c>
      <c r="E9" s="13" t="s">
        <v>420</v>
      </c>
      <c r="F9" s="23" t="s">
        <v>20</v>
      </c>
      <c r="G9" s="13" t="s">
        <v>890</v>
      </c>
      <c r="H9" s="13" t="s">
        <v>129</v>
      </c>
      <c r="I9" s="13" t="s">
        <v>889</v>
      </c>
      <c r="J9" s="13" t="s">
        <v>9</v>
      </c>
      <c r="K9" s="14" t="str">
        <f t="shared" si="0"/>
        <v>R-0402-15K F</v>
      </c>
      <c r="L9" s="13" t="str">
        <f t="shared" si="1"/>
        <v>R-0402-15K F</v>
      </c>
    </row>
    <row r="10" spans="1:12" x14ac:dyDescent="0.25">
      <c r="A10" s="13" t="s">
        <v>368</v>
      </c>
      <c r="B10" s="3" t="s">
        <v>370</v>
      </c>
      <c r="C10" s="13" t="s">
        <v>128</v>
      </c>
      <c r="D10" s="5" t="s">
        <v>9</v>
      </c>
      <c r="E10" s="13" t="s">
        <v>371</v>
      </c>
      <c r="F10" s="23" t="s">
        <v>20</v>
      </c>
      <c r="G10" s="13" t="s">
        <v>890</v>
      </c>
      <c r="H10" s="13" t="s">
        <v>129</v>
      </c>
      <c r="I10" s="13" t="s">
        <v>889</v>
      </c>
      <c r="J10" s="13" t="s">
        <v>9</v>
      </c>
      <c r="K10" s="14" t="str">
        <f t="shared" si="0"/>
        <v>R-0402-160K F</v>
      </c>
      <c r="L10" s="13" t="str">
        <f t="shared" si="1"/>
        <v>R-0402-160K F</v>
      </c>
    </row>
    <row r="11" spans="1:12" x14ac:dyDescent="0.25">
      <c r="A11" s="13" t="s">
        <v>192</v>
      </c>
      <c r="B11" s="13" t="s">
        <v>741</v>
      </c>
      <c r="C11" s="13" t="s">
        <v>128</v>
      </c>
      <c r="D11" s="13" t="s">
        <v>9</v>
      </c>
      <c r="E11" s="13" t="s">
        <v>193</v>
      </c>
      <c r="F11" s="23" t="s">
        <v>20</v>
      </c>
      <c r="G11" s="13" t="s">
        <v>890</v>
      </c>
      <c r="H11" s="13" t="s">
        <v>129</v>
      </c>
      <c r="I11" s="13" t="s">
        <v>889</v>
      </c>
      <c r="J11" s="13" t="s">
        <v>9</v>
      </c>
      <c r="K11" s="14" t="str">
        <f t="shared" si="0"/>
        <v>R-0402-17K8 F</v>
      </c>
      <c r="L11" s="13" t="str">
        <f t="shared" si="1"/>
        <v>R-0402-17K8 F</v>
      </c>
    </row>
    <row r="12" spans="1:12" x14ac:dyDescent="0.25">
      <c r="A12" s="13" t="s">
        <v>307</v>
      </c>
      <c r="B12" s="3" t="s">
        <v>740</v>
      </c>
      <c r="C12" s="13" t="s">
        <v>128</v>
      </c>
      <c r="D12" s="5" t="s">
        <v>9</v>
      </c>
      <c r="E12" s="13" t="s">
        <v>308</v>
      </c>
      <c r="F12" s="23" t="s">
        <v>20</v>
      </c>
      <c r="G12" s="13" t="s">
        <v>890</v>
      </c>
      <c r="H12" s="13" t="s">
        <v>129</v>
      </c>
      <c r="I12" s="13" t="s">
        <v>889</v>
      </c>
      <c r="J12" s="13" t="s">
        <v>9</v>
      </c>
      <c r="K12" s="14" t="str">
        <f t="shared" si="0"/>
        <v>R-0402-18R2 F</v>
      </c>
      <c r="L12" s="13" t="str">
        <f t="shared" si="1"/>
        <v>R-0402-18R2 F</v>
      </c>
    </row>
    <row r="13" spans="1:12" x14ac:dyDescent="0.25">
      <c r="A13" s="13" t="s">
        <v>270</v>
      </c>
      <c r="B13" s="3" t="s">
        <v>271</v>
      </c>
      <c r="C13" s="13" t="s">
        <v>128</v>
      </c>
      <c r="D13" s="5" t="s">
        <v>9</v>
      </c>
      <c r="E13" s="13" t="s">
        <v>272</v>
      </c>
      <c r="F13" s="23" t="s">
        <v>20</v>
      </c>
      <c r="G13" s="13" t="s">
        <v>890</v>
      </c>
      <c r="H13" s="13" t="s">
        <v>129</v>
      </c>
      <c r="I13" s="13" t="s">
        <v>889</v>
      </c>
      <c r="J13" s="13" t="s">
        <v>9</v>
      </c>
      <c r="K13" s="14" t="str">
        <f t="shared" si="0"/>
        <v>R-0402-1K F</v>
      </c>
      <c r="L13" s="13" t="str">
        <f t="shared" si="1"/>
        <v>R-0402-1K F</v>
      </c>
    </row>
    <row r="14" spans="1:12" x14ac:dyDescent="0.25">
      <c r="A14" s="13" t="s">
        <v>158</v>
      </c>
      <c r="B14" s="13" t="s">
        <v>736</v>
      </c>
      <c r="C14" s="13" t="s">
        <v>128</v>
      </c>
      <c r="D14" s="13" t="s">
        <v>9</v>
      </c>
      <c r="E14" s="13" t="s">
        <v>159</v>
      </c>
      <c r="F14" s="23" t="s">
        <v>20</v>
      </c>
      <c r="G14" s="13" t="s">
        <v>890</v>
      </c>
      <c r="H14" s="13" t="s">
        <v>129</v>
      </c>
      <c r="I14" s="13" t="s">
        <v>889</v>
      </c>
      <c r="J14" s="13" t="s">
        <v>9</v>
      </c>
      <c r="K14" s="14" t="str">
        <f t="shared" si="0"/>
        <v>R-0402-1K05 F</v>
      </c>
      <c r="L14" s="13" t="str">
        <f t="shared" si="1"/>
        <v>R-0402-1K05 F</v>
      </c>
    </row>
    <row r="15" spans="1:12" x14ac:dyDescent="0.25">
      <c r="A15" s="13" t="s">
        <v>141</v>
      </c>
      <c r="B15" s="13" t="s">
        <v>735</v>
      </c>
      <c r="C15" s="13" t="s">
        <v>128</v>
      </c>
      <c r="D15" s="5" t="s">
        <v>9</v>
      </c>
      <c r="E15" s="13" t="s">
        <v>142</v>
      </c>
      <c r="F15" s="23" t="s">
        <v>20</v>
      </c>
      <c r="G15" s="13" t="s">
        <v>890</v>
      </c>
      <c r="H15" s="13" t="s">
        <v>129</v>
      </c>
      <c r="I15" s="13" t="s">
        <v>889</v>
      </c>
      <c r="J15" s="13" t="s">
        <v>9</v>
      </c>
      <c r="K15" s="14" t="str">
        <f t="shared" si="0"/>
        <v>R-0402-1K5 F</v>
      </c>
      <c r="L15" s="13" t="str">
        <f t="shared" si="1"/>
        <v>R-0402-1K5 F</v>
      </c>
    </row>
    <row r="16" spans="1:12" x14ac:dyDescent="0.25">
      <c r="A16" s="13" t="s">
        <v>425</v>
      </c>
      <c r="B16" s="13" t="s">
        <v>350</v>
      </c>
      <c r="C16" s="13" t="s">
        <v>128</v>
      </c>
      <c r="D16" s="5" t="s">
        <v>9</v>
      </c>
      <c r="E16" s="13" t="s">
        <v>482</v>
      </c>
      <c r="F16" s="23" t="s">
        <v>20</v>
      </c>
      <c r="G16" s="13" t="s">
        <v>890</v>
      </c>
      <c r="H16" s="13" t="s">
        <v>129</v>
      </c>
      <c r="I16" s="13" t="s">
        <v>889</v>
      </c>
      <c r="J16" s="13" t="s">
        <v>9</v>
      </c>
      <c r="K16" s="14" t="str">
        <f t="shared" si="0"/>
        <v>R-0402-200K F</v>
      </c>
      <c r="L16" s="13" t="str">
        <f t="shared" si="1"/>
        <v>R-0402-200K F</v>
      </c>
    </row>
    <row r="17" spans="1:12" x14ac:dyDescent="0.25">
      <c r="A17" s="13" t="s">
        <v>349</v>
      </c>
      <c r="B17" s="13" t="s">
        <v>350</v>
      </c>
      <c r="C17" s="13" t="s">
        <v>128</v>
      </c>
      <c r="D17" s="5" t="s">
        <v>9</v>
      </c>
      <c r="E17" s="13" t="s">
        <v>481</v>
      </c>
      <c r="F17" s="23" t="s">
        <v>20</v>
      </c>
      <c r="G17" s="13" t="s">
        <v>890</v>
      </c>
      <c r="H17" s="13" t="s">
        <v>129</v>
      </c>
      <c r="I17" s="13" t="s">
        <v>889</v>
      </c>
      <c r="J17" s="13" t="s">
        <v>9</v>
      </c>
      <c r="K17" s="14" t="str">
        <f t="shared" si="0"/>
        <v>R-0402-220K F</v>
      </c>
      <c r="L17" s="13" t="str">
        <f t="shared" si="1"/>
        <v>R-0402-220K F</v>
      </c>
    </row>
    <row r="18" spans="1:12" x14ac:dyDescent="0.25">
      <c r="A18" s="13" t="s">
        <v>229</v>
      </c>
      <c r="B18" s="13" t="s">
        <v>734</v>
      </c>
      <c r="C18" s="13" t="s">
        <v>128</v>
      </c>
      <c r="D18" s="13" t="s">
        <v>9</v>
      </c>
      <c r="E18" s="13" t="s">
        <v>230</v>
      </c>
      <c r="F18" s="23" t="s">
        <v>20</v>
      </c>
      <c r="G18" s="13" t="s">
        <v>890</v>
      </c>
      <c r="H18" s="13" t="s">
        <v>129</v>
      </c>
      <c r="I18" s="13" t="s">
        <v>889</v>
      </c>
      <c r="J18" s="13" t="s">
        <v>9</v>
      </c>
      <c r="K18" s="14" t="str">
        <f t="shared" si="0"/>
        <v>R-0402-24R9 F</v>
      </c>
      <c r="L18" s="13" t="str">
        <f t="shared" si="1"/>
        <v>R-0402-24R9 F</v>
      </c>
    </row>
    <row r="19" spans="1:12" x14ac:dyDescent="0.25">
      <c r="A19" s="13" t="s">
        <v>351</v>
      </c>
      <c r="B19" s="13" t="s">
        <v>352</v>
      </c>
      <c r="C19" s="13" t="s">
        <v>128</v>
      </c>
      <c r="D19" s="5" t="s">
        <v>9</v>
      </c>
      <c r="E19" s="13" t="s">
        <v>353</v>
      </c>
      <c r="F19" s="23" t="s">
        <v>20</v>
      </c>
      <c r="G19" s="13" t="s">
        <v>890</v>
      </c>
      <c r="H19" s="13" t="s">
        <v>129</v>
      </c>
      <c r="I19" s="13" t="s">
        <v>889</v>
      </c>
      <c r="J19" s="13" t="s">
        <v>9</v>
      </c>
      <c r="K19" s="14" t="str">
        <f t="shared" si="0"/>
        <v>R-0402-2K F</v>
      </c>
      <c r="L19" s="13" t="str">
        <f t="shared" si="1"/>
        <v>R-0402-2K F</v>
      </c>
    </row>
    <row r="20" spans="1:12" x14ac:dyDescent="0.25">
      <c r="A20" s="13" t="s">
        <v>204</v>
      </c>
      <c r="B20" s="13" t="s">
        <v>733</v>
      </c>
      <c r="C20" s="13" t="s">
        <v>128</v>
      </c>
      <c r="D20" s="5" t="s">
        <v>9</v>
      </c>
      <c r="E20" s="13" t="s">
        <v>140</v>
      </c>
      <c r="F20" s="23" t="s">
        <v>20</v>
      </c>
      <c r="G20" s="13" t="s">
        <v>890</v>
      </c>
      <c r="H20" s="13" t="s">
        <v>129</v>
      </c>
      <c r="I20" s="13" t="s">
        <v>889</v>
      </c>
      <c r="J20" s="13" t="s">
        <v>9</v>
      </c>
      <c r="K20" s="14" t="str">
        <f t="shared" si="0"/>
        <v>R-0402-31K6 F</v>
      </c>
      <c r="L20" s="13" t="str">
        <f t="shared" si="1"/>
        <v>R-0402-31K6 F</v>
      </c>
    </row>
    <row r="21" spans="1:12" x14ac:dyDescent="0.25">
      <c r="A21" s="13" t="s">
        <v>303</v>
      </c>
      <c r="B21" s="3" t="s">
        <v>304</v>
      </c>
      <c r="C21" s="13" t="s">
        <v>128</v>
      </c>
      <c r="D21" s="5" t="s">
        <v>9</v>
      </c>
      <c r="E21" s="13" t="s">
        <v>306</v>
      </c>
      <c r="F21" s="23" t="s">
        <v>20</v>
      </c>
      <c r="G21" s="13" t="s">
        <v>890</v>
      </c>
      <c r="H21" s="13" t="s">
        <v>129</v>
      </c>
      <c r="I21" s="13" t="s">
        <v>889</v>
      </c>
      <c r="J21" s="13" t="s">
        <v>9</v>
      </c>
      <c r="K21" s="14" t="str">
        <f t="shared" si="0"/>
        <v>R-0402-33R F</v>
      </c>
      <c r="L21" s="13" t="str">
        <f t="shared" si="1"/>
        <v>R-0402-33R F</v>
      </c>
    </row>
    <row r="22" spans="1:12" x14ac:dyDescent="0.25">
      <c r="A22" s="13" t="s">
        <v>137</v>
      </c>
      <c r="B22" s="13" t="s">
        <v>138</v>
      </c>
      <c r="C22" s="13" t="s">
        <v>128</v>
      </c>
      <c r="D22" s="5" t="s">
        <v>9</v>
      </c>
      <c r="E22" s="13" t="s">
        <v>139</v>
      </c>
      <c r="F22" s="23" t="s">
        <v>20</v>
      </c>
      <c r="G22" s="13" t="s">
        <v>890</v>
      </c>
      <c r="H22" s="13" t="s">
        <v>129</v>
      </c>
      <c r="I22" s="13" t="s">
        <v>889</v>
      </c>
      <c r="J22" s="13" t="s">
        <v>9</v>
      </c>
      <c r="K22" s="14" t="str">
        <f t="shared" si="0"/>
        <v>R-0402-3K F</v>
      </c>
      <c r="L22" s="13" t="str">
        <f t="shared" si="1"/>
        <v>R-0402-3K F</v>
      </c>
    </row>
    <row r="23" spans="1:12" x14ac:dyDescent="0.25">
      <c r="A23" s="13" t="s">
        <v>477</v>
      </c>
      <c r="B23" s="3" t="s">
        <v>966</v>
      </c>
      <c r="C23" s="13" t="s">
        <v>128</v>
      </c>
      <c r="D23" s="5" t="s">
        <v>9</v>
      </c>
      <c r="E23" s="13" t="s">
        <v>478</v>
      </c>
      <c r="F23" s="23" t="s">
        <v>20</v>
      </c>
      <c r="G23" s="13" t="s">
        <v>890</v>
      </c>
      <c r="H23" s="13" t="s">
        <v>129</v>
      </c>
      <c r="I23" s="13" t="s">
        <v>889</v>
      </c>
      <c r="J23" s="13" t="s">
        <v>9</v>
      </c>
      <c r="K23" s="14" t="str">
        <f t="shared" si="0"/>
        <v>R-0402-3K9 F</v>
      </c>
      <c r="L23" s="13" t="str">
        <f t="shared" si="1"/>
        <v>R-0402-3K9 F</v>
      </c>
    </row>
    <row r="24" spans="1:12" x14ac:dyDescent="0.25">
      <c r="A24" s="13" t="s">
        <v>772</v>
      </c>
      <c r="B24" s="13" t="s">
        <v>771</v>
      </c>
      <c r="C24" s="13" t="s">
        <v>128</v>
      </c>
      <c r="D24" s="5" t="s">
        <v>9</v>
      </c>
      <c r="E24" s="13" t="s">
        <v>770</v>
      </c>
      <c r="F24" s="23" t="s">
        <v>20</v>
      </c>
      <c r="G24" s="13" t="s">
        <v>890</v>
      </c>
      <c r="H24" s="13" t="s">
        <v>129</v>
      </c>
      <c r="I24" s="13" t="s">
        <v>889</v>
      </c>
      <c r="J24" s="13" t="s">
        <v>9</v>
      </c>
      <c r="K24" s="14" t="str">
        <f t="shared" si="0"/>
        <v>R-0402-40K2 F</v>
      </c>
      <c r="L24" s="13" t="str">
        <f t="shared" si="1"/>
        <v>R-0402-40K2 F</v>
      </c>
    </row>
    <row r="25" spans="1:12" x14ac:dyDescent="0.25">
      <c r="A25" s="13" t="s">
        <v>143</v>
      </c>
      <c r="B25" s="13" t="s">
        <v>732</v>
      </c>
      <c r="C25" s="13" t="s">
        <v>128</v>
      </c>
      <c r="D25" s="5" t="s">
        <v>9</v>
      </c>
      <c r="E25" s="13" t="s">
        <v>144</v>
      </c>
      <c r="F25" s="23" t="s">
        <v>20</v>
      </c>
      <c r="G25" s="13" t="s">
        <v>890</v>
      </c>
      <c r="H25" s="13" t="s">
        <v>129</v>
      </c>
      <c r="I25" s="13" t="s">
        <v>889</v>
      </c>
      <c r="J25" s="13" t="s">
        <v>9</v>
      </c>
      <c r="K25" s="14" t="str">
        <f t="shared" si="0"/>
        <v>R-0402-47K5 F</v>
      </c>
      <c r="L25" s="13" t="str">
        <f t="shared" si="1"/>
        <v>R-0402-47K5 F</v>
      </c>
    </row>
    <row r="26" spans="1:12" x14ac:dyDescent="0.25">
      <c r="A26" s="13" t="s">
        <v>855</v>
      </c>
      <c r="B26" s="13" t="s">
        <v>856</v>
      </c>
      <c r="C26" s="13" t="s">
        <v>128</v>
      </c>
      <c r="D26" s="5" t="s">
        <v>9</v>
      </c>
      <c r="E26" s="13" t="s">
        <v>857</v>
      </c>
      <c r="F26" s="23" t="s">
        <v>20</v>
      </c>
      <c r="G26" s="13" t="s">
        <v>890</v>
      </c>
      <c r="H26" s="13" t="s">
        <v>129</v>
      </c>
      <c r="I26" s="13" t="s">
        <v>889</v>
      </c>
      <c r="J26" s="13" t="s">
        <v>9</v>
      </c>
      <c r="K26" s="14" t="str">
        <f t="shared" si="0"/>
        <v>R-0402-499K F</v>
      </c>
      <c r="L26" s="13" t="str">
        <f t="shared" si="1"/>
        <v>R-0402-499K F</v>
      </c>
    </row>
    <row r="27" spans="1:12" x14ac:dyDescent="0.25">
      <c r="A27" s="13" t="s">
        <v>301</v>
      </c>
      <c r="B27" s="3" t="s">
        <v>302</v>
      </c>
      <c r="C27" s="13" t="s">
        <v>128</v>
      </c>
      <c r="D27" s="5" t="s">
        <v>9</v>
      </c>
      <c r="E27" s="13" t="s">
        <v>305</v>
      </c>
      <c r="F27" s="23" t="s">
        <v>20</v>
      </c>
      <c r="G27" s="13" t="s">
        <v>890</v>
      </c>
      <c r="H27" s="13" t="s">
        <v>129</v>
      </c>
      <c r="I27" s="13" t="s">
        <v>889</v>
      </c>
      <c r="J27" s="13" t="s">
        <v>9</v>
      </c>
      <c r="K27" s="14" t="str">
        <f t="shared" si="0"/>
        <v>R-0402-50R F</v>
      </c>
      <c r="L27" s="13" t="str">
        <f t="shared" si="1"/>
        <v>R-0402-50R F</v>
      </c>
    </row>
    <row r="28" spans="1:12" x14ac:dyDescent="0.25">
      <c r="A28" s="13" t="s">
        <v>480</v>
      </c>
      <c r="B28" s="3" t="s">
        <v>332</v>
      </c>
      <c r="C28" s="13" t="s">
        <v>128</v>
      </c>
      <c r="D28" s="5" t="s">
        <v>9</v>
      </c>
      <c r="E28" s="13" t="s">
        <v>479</v>
      </c>
      <c r="F28" s="23" t="s">
        <v>20</v>
      </c>
      <c r="G28" s="13" t="s">
        <v>890</v>
      </c>
      <c r="H28" s="13" t="s">
        <v>129</v>
      </c>
      <c r="I28" s="13" t="s">
        <v>889</v>
      </c>
      <c r="J28" s="13" t="s">
        <v>9</v>
      </c>
      <c r="K28" s="14" t="str">
        <f t="shared" si="0"/>
        <v>R-0402-560R F</v>
      </c>
      <c r="L28" s="13" t="str">
        <f t="shared" si="1"/>
        <v>R-0402-560R F</v>
      </c>
    </row>
    <row r="29" spans="1:12" x14ac:dyDescent="0.25">
      <c r="A29" s="13" t="s">
        <v>126</v>
      </c>
      <c r="B29" s="3" t="s">
        <v>127</v>
      </c>
      <c r="C29" s="13" t="s">
        <v>128</v>
      </c>
      <c r="D29" s="5" t="s">
        <v>9</v>
      </c>
      <c r="E29" s="2" t="s">
        <v>130</v>
      </c>
      <c r="F29" s="23" t="s">
        <v>20</v>
      </c>
      <c r="G29" s="13" t="s">
        <v>890</v>
      </c>
      <c r="H29" s="13" t="s">
        <v>129</v>
      </c>
      <c r="I29" s="13" t="s">
        <v>889</v>
      </c>
      <c r="J29" s="13" t="s">
        <v>9</v>
      </c>
      <c r="K29" s="14" t="str">
        <f t="shared" si="0"/>
        <v>R-0402-56K F</v>
      </c>
      <c r="L29" s="13" t="str">
        <f t="shared" si="1"/>
        <v>R-0402-56K F</v>
      </c>
    </row>
    <row r="30" spans="1:12" x14ac:dyDescent="0.25">
      <c r="A30" s="13" t="s">
        <v>762</v>
      </c>
      <c r="B30" s="3" t="s">
        <v>763</v>
      </c>
      <c r="C30" s="13" t="s">
        <v>128</v>
      </c>
      <c r="D30" s="5" t="s">
        <v>9</v>
      </c>
      <c r="E30" s="13" t="s">
        <v>761</v>
      </c>
      <c r="F30" s="23" t="s">
        <v>20</v>
      </c>
      <c r="G30" s="13" t="s">
        <v>890</v>
      </c>
      <c r="H30" s="13" t="s">
        <v>129</v>
      </c>
      <c r="I30" s="13" t="s">
        <v>889</v>
      </c>
      <c r="J30" s="13" t="s">
        <v>9</v>
      </c>
      <c r="K30" s="14" t="str">
        <f t="shared" si="0"/>
        <v>R-0402-4K99 F</v>
      </c>
      <c r="L30" s="13" t="str">
        <f t="shared" si="1"/>
        <v>R-0402-4K99 F</v>
      </c>
    </row>
    <row r="31" spans="1:12" x14ac:dyDescent="0.25">
      <c r="A31" s="13" t="s">
        <v>309</v>
      </c>
      <c r="B31" s="3" t="s">
        <v>739</v>
      </c>
      <c r="C31" s="13" t="s">
        <v>128</v>
      </c>
      <c r="D31" s="5" t="s">
        <v>9</v>
      </c>
      <c r="E31" s="13" t="s">
        <v>310</v>
      </c>
      <c r="F31" s="23" t="s">
        <v>20</v>
      </c>
      <c r="G31" s="13" t="s">
        <v>890</v>
      </c>
      <c r="H31" s="13" t="s">
        <v>129</v>
      </c>
      <c r="I31" s="13" t="s">
        <v>889</v>
      </c>
      <c r="J31" s="13" t="s">
        <v>9</v>
      </c>
      <c r="K31" s="14" t="str">
        <f t="shared" si="0"/>
        <v>R-0402-68R1 F</v>
      </c>
      <c r="L31" s="13" t="str">
        <f t="shared" si="1"/>
        <v>R-0402-68R1 F</v>
      </c>
    </row>
    <row r="32" spans="1:12" x14ac:dyDescent="0.25">
      <c r="A32" s="13" t="s">
        <v>769</v>
      </c>
      <c r="B32" s="13" t="s">
        <v>768</v>
      </c>
      <c r="C32" s="13" t="s">
        <v>128</v>
      </c>
      <c r="D32" s="5" t="s">
        <v>9</v>
      </c>
      <c r="E32" s="13" t="s">
        <v>767</v>
      </c>
      <c r="F32" s="23" t="s">
        <v>20</v>
      </c>
      <c r="G32" s="13" t="s">
        <v>890</v>
      </c>
      <c r="H32" s="13" t="s">
        <v>129</v>
      </c>
      <c r="I32" s="13" t="s">
        <v>889</v>
      </c>
      <c r="J32" s="13" t="s">
        <v>9</v>
      </c>
      <c r="K32" s="14" t="str">
        <f t="shared" si="0"/>
        <v>R-0402-6K81 F</v>
      </c>
      <c r="L32" s="13" t="str">
        <f t="shared" si="1"/>
        <v>R-0402-6K81 F</v>
      </c>
    </row>
    <row r="33" spans="1:12" x14ac:dyDescent="0.25">
      <c r="A33" s="13" t="s">
        <v>426</v>
      </c>
      <c r="B33" s="13" t="s">
        <v>742</v>
      </c>
      <c r="C33" s="13" t="s">
        <v>128</v>
      </c>
      <c r="D33" s="13" t="s">
        <v>9</v>
      </c>
      <c r="E33" s="13" t="s">
        <v>427</v>
      </c>
      <c r="F33" s="23" t="s">
        <v>20</v>
      </c>
      <c r="G33" s="13" t="s">
        <v>890</v>
      </c>
      <c r="H33" s="13" t="s">
        <v>129</v>
      </c>
      <c r="I33" s="13" t="s">
        <v>889</v>
      </c>
      <c r="J33" s="13" t="s">
        <v>9</v>
      </c>
      <c r="K33" s="14" t="str">
        <f t="shared" si="0"/>
        <v>R-0402-8K66 F</v>
      </c>
      <c r="L33" s="13" t="str">
        <f t="shared" si="1"/>
        <v>R-0402-8K66 F</v>
      </c>
    </row>
    <row r="34" spans="1:12" x14ac:dyDescent="0.25">
      <c r="A34" s="13" t="s">
        <v>483</v>
      </c>
      <c r="B34" s="13" t="s">
        <v>528</v>
      </c>
      <c r="C34" s="13" t="s">
        <v>128</v>
      </c>
      <c r="D34" s="5" t="s">
        <v>9</v>
      </c>
      <c r="E34" s="13" t="s">
        <v>484</v>
      </c>
      <c r="F34" s="23" t="s">
        <v>20</v>
      </c>
      <c r="G34" s="13" t="s">
        <v>890</v>
      </c>
      <c r="H34" s="13" t="s">
        <v>129</v>
      </c>
      <c r="I34" s="13" t="s">
        <v>889</v>
      </c>
      <c r="J34" s="13" t="s">
        <v>9</v>
      </c>
      <c r="K34" s="14" t="str">
        <f t="shared" si="0"/>
        <v>R-0402-66K5 F</v>
      </c>
      <c r="L34" s="13" t="str">
        <f t="shared" si="1"/>
        <v>R-0402-66K5 F</v>
      </c>
    </row>
    <row r="35" spans="1:12" x14ac:dyDescent="0.25">
      <c r="A35" s="13" t="s">
        <v>766</v>
      </c>
      <c r="B35" s="13" t="s">
        <v>765</v>
      </c>
      <c r="C35" s="13" t="s">
        <v>128</v>
      </c>
      <c r="D35" s="5" t="s">
        <v>9</v>
      </c>
      <c r="E35" s="13" t="s">
        <v>764</v>
      </c>
      <c r="F35" s="23" t="s">
        <v>20</v>
      </c>
      <c r="G35" s="13" t="s">
        <v>890</v>
      </c>
      <c r="H35" s="13" t="s">
        <v>129</v>
      </c>
      <c r="I35" s="13" t="s">
        <v>889</v>
      </c>
      <c r="J35" s="13" t="s">
        <v>9</v>
      </c>
      <c r="K35" s="14" t="str">
        <f t="shared" ref="K35" si="2">_xlfn.CONCAT("R-", D35,"-",E35," ",_xlfn.IFS(F35 ="±0,1", "B", F35 = "±0,25", "C", F35 = "±0,5", "D", F35 = "±1%", "F",F35="±2%","G",F35="±5%", "J", F35="±10%", "K", F35="±20%", "M"))</f>
        <v>R-0402-18K2 F</v>
      </c>
      <c r="L35" s="13" t="str">
        <f t="shared" ref="L35" si="3">K35</f>
        <v>R-0402-18K2 F</v>
      </c>
    </row>
    <row r="36" spans="1:12" x14ac:dyDescent="0.25">
      <c r="A36" s="13" t="s">
        <v>534</v>
      </c>
      <c r="B36" s="13" t="s">
        <v>535</v>
      </c>
      <c r="C36" s="13" t="s">
        <v>128</v>
      </c>
      <c r="D36" s="5" t="s">
        <v>9</v>
      </c>
      <c r="E36" s="13" t="s">
        <v>536</v>
      </c>
      <c r="F36" s="23" t="s">
        <v>20</v>
      </c>
      <c r="G36" s="13" t="s">
        <v>890</v>
      </c>
      <c r="H36" s="13" t="s">
        <v>129</v>
      </c>
      <c r="I36" s="13" t="s">
        <v>889</v>
      </c>
      <c r="J36" s="13" t="s">
        <v>9</v>
      </c>
      <c r="K36" s="14" t="str">
        <f t="shared" ref="K36:K37" si="4">_xlfn.CONCAT("R-", D36,"-",E36," ",_xlfn.IFS(F36 ="±0,1", "B", F36 = "±0,25", "C", F36 = "±0,5", "D", F36 = "±1%", "F",F36="±2%","G",F36="±5%", "J", F36="±10%", "K", F36="±20%", "M"))</f>
        <v>R-0402-1M F</v>
      </c>
      <c r="L36" s="13" t="str">
        <f t="shared" ref="L36:L37" si="5">K36</f>
        <v>R-0402-1M F</v>
      </c>
    </row>
    <row r="37" spans="1:12" x14ac:dyDescent="0.25">
      <c r="A37" s="13" t="s">
        <v>537</v>
      </c>
      <c r="B37" s="13" t="s">
        <v>538</v>
      </c>
      <c r="C37" s="13" t="s">
        <v>128</v>
      </c>
      <c r="D37" s="5" t="s">
        <v>9</v>
      </c>
      <c r="E37" s="13" t="s">
        <v>539</v>
      </c>
      <c r="F37" s="23" t="s">
        <v>20</v>
      </c>
      <c r="G37" s="13" t="s">
        <v>890</v>
      </c>
      <c r="H37" s="13" t="s">
        <v>129</v>
      </c>
      <c r="I37" s="13" t="s">
        <v>889</v>
      </c>
      <c r="J37" s="13" t="s">
        <v>9</v>
      </c>
      <c r="K37" s="14" t="str">
        <f t="shared" si="4"/>
        <v>R-0402-243K F</v>
      </c>
      <c r="L37" s="13" t="str">
        <f t="shared" si="5"/>
        <v>R-0402-243K F</v>
      </c>
    </row>
    <row r="38" spans="1:12" x14ac:dyDescent="0.25">
      <c r="A38" s="13" t="s">
        <v>540</v>
      </c>
      <c r="B38" s="13" t="s">
        <v>541</v>
      </c>
      <c r="C38" s="13" t="s">
        <v>128</v>
      </c>
      <c r="D38" s="5" t="s">
        <v>9</v>
      </c>
      <c r="E38" s="13" t="s">
        <v>542</v>
      </c>
      <c r="F38" s="23" t="s">
        <v>20</v>
      </c>
      <c r="G38" s="13" t="s">
        <v>890</v>
      </c>
      <c r="H38" s="13" t="s">
        <v>129</v>
      </c>
      <c r="I38" s="13" t="s">
        <v>889</v>
      </c>
      <c r="J38" s="13" t="s">
        <v>9</v>
      </c>
      <c r="K38" s="14" t="str">
        <f t="shared" ref="K38" si="6">_xlfn.CONCAT("R-", D38,"-",E38," ",_xlfn.IFS(F38 ="±0,1", "B", F38 = "±0,25", "C", F38 = "±0,5", "D", F38 = "±1%", "F",F38="±2%","G",F38="±5%", "J", F38="±10%", "K", F38="±20%", "M"))</f>
        <v>R-0402-412K F</v>
      </c>
      <c r="L38" s="13" t="str">
        <f t="shared" ref="L38" si="7">K38</f>
        <v>R-0402-412K F</v>
      </c>
    </row>
    <row r="39" spans="1:12" x14ac:dyDescent="0.25">
      <c r="A39" s="13" t="s">
        <v>545</v>
      </c>
      <c r="B39" s="13" t="s">
        <v>543</v>
      </c>
      <c r="C39" s="13" t="s">
        <v>128</v>
      </c>
      <c r="D39" s="5" t="s">
        <v>9</v>
      </c>
      <c r="E39" s="13" t="s">
        <v>544</v>
      </c>
      <c r="F39" s="23" t="s">
        <v>20</v>
      </c>
      <c r="G39" s="13" t="s">
        <v>890</v>
      </c>
      <c r="H39" s="13" t="s">
        <v>129</v>
      </c>
      <c r="I39" s="13" t="s">
        <v>889</v>
      </c>
      <c r="J39" s="13" t="s">
        <v>9</v>
      </c>
      <c r="K39" s="14" t="str">
        <f t="shared" ref="K39:K43" si="8">_xlfn.CONCAT("R-", D39,"-",E39," ",_xlfn.IFS(F39 ="±0,1", "B", F39 = "±0,25", "C", F39 = "±0,5", "D", F39 = "±1%", "F",F39="±2%","G",F39="±5%", "J", F39="±10%", "K", F39="±20%", "M"))</f>
        <v>R-0402-866K F</v>
      </c>
      <c r="L39" s="13" t="str">
        <f t="shared" ref="L39:L43" si="9">K39</f>
        <v>R-0402-866K F</v>
      </c>
    </row>
    <row r="40" spans="1:12" x14ac:dyDescent="0.25">
      <c r="A40" s="13" t="s">
        <v>563</v>
      </c>
      <c r="B40" s="13" t="s">
        <v>564</v>
      </c>
      <c r="C40" s="13" t="s">
        <v>128</v>
      </c>
      <c r="D40" s="13" t="s">
        <v>9</v>
      </c>
      <c r="E40" s="13" t="s">
        <v>565</v>
      </c>
      <c r="F40" s="23" t="s">
        <v>20</v>
      </c>
      <c r="G40" s="13" t="s">
        <v>890</v>
      </c>
      <c r="H40" s="13" t="s">
        <v>129</v>
      </c>
      <c r="I40" s="13" t="s">
        <v>889</v>
      </c>
      <c r="J40" s="13" t="s">
        <v>9</v>
      </c>
      <c r="K40" s="14" t="str">
        <f t="shared" si="8"/>
        <v>R-0402-12K F</v>
      </c>
      <c r="L40" s="13" t="str">
        <f t="shared" si="9"/>
        <v>R-0402-12K F</v>
      </c>
    </row>
    <row r="41" spans="1:12" x14ac:dyDescent="0.25">
      <c r="A41" s="13" t="s">
        <v>593</v>
      </c>
      <c r="B41" s="3" t="s">
        <v>594</v>
      </c>
      <c r="C41" s="13" t="s">
        <v>128</v>
      </c>
      <c r="D41" s="5" t="s">
        <v>9</v>
      </c>
      <c r="E41" s="13" t="s">
        <v>595</v>
      </c>
      <c r="F41" s="23" t="s">
        <v>20</v>
      </c>
      <c r="G41" s="13" t="s">
        <v>890</v>
      </c>
      <c r="H41" s="13" t="s">
        <v>129</v>
      </c>
      <c r="I41" s="13" t="s">
        <v>889</v>
      </c>
      <c r="J41" s="13" t="s">
        <v>9</v>
      </c>
      <c r="K41" s="14" t="str">
        <f t="shared" si="8"/>
        <v>R-0402-200R F</v>
      </c>
      <c r="L41" s="13" t="str">
        <f t="shared" si="9"/>
        <v>R-0402-200R F</v>
      </c>
    </row>
    <row r="42" spans="1:12" x14ac:dyDescent="0.25">
      <c r="A42" s="13" t="s">
        <v>615</v>
      </c>
      <c r="B42" s="3" t="s">
        <v>614</v>
      </c>
      <c r="C42" s="13" t="s">
        <v>128</v>
      </c>
      <c r="D42" s="5" t="s">
        <v>9</v>
      </c>
      <c r="E42" s="13" t="s">
        <v>616</v>
      </c>
      <c r="F42" s="23" t="s">
        <v>20</v>
      </c>
      <c r="G42" s="13" t="s">
        <v>890</v>
      </c>
      <c r="H42" s="13" t="s">
        <v>129</v>
      </c>
      <c r="I42" s="13" t="s">
        <v>889</v>
      </c>
      <c r="J42" s="13" t="s">
        <v>9</v>
      </c>
      <c r="K42" s="14" t="str">
        <f t="shared" si="8"/>
        <v>R-0402-11K F</v>
      </c>
      <c r="L42" s="13" t="str">
        <f t="shared" si="9"/>
        <v>R-0402-11K F</v>
      </c>
    </row>
    <row r="43" spans="1:12" x14ac:dyDescent="0.25">
      <c r="A43" s="13" t="s">
        <v>617</v>
      </c>
      <c r="B43" s="13" t="s">
        <v>619</v>
      </c>
      <c r="C43" s="13" t="s">
        <v>128</v>
      </c>
      <c r="D43" s="13" t="s">
        <v>9</v>
      </c>
      <c r="E43" s="13" t="s">
        <v>618</v>
      </c>
      <c r="F43" s="23" t="s">
        <v>20</v>
      </c>
      <c r="G43" s="13" t="s">
        <v>890</v>
      </c>
      <c r="H43" s="13" t="s">
        <v>129</v>
      </c>
      <c r="I43" s="13" t="s">
        <v>889</v>
      </c>
      <c r="J43" s="13" t="s">
        <v>9</v>
      </c>
      <c r="K43" s="14" t="str">
        <f t="shared" si="8"/>
        <v>R-0402-2K49 F</v>
      </c>
      <c r="L43" s="13" t="str">
        <f t="shared" si="9"/>
        <v>R-0402-2K49 F</v>
      </c>
    </row>
    <row r="44" spans="1:12" x14ac:dyDescent="0.25">
      <c r="A44" s="13" t="s">
        <v>621</v>
      </c>
      <c r="B44" s="13" t="s">
        <v>620</v>
      </c>
      <c r="C44" s="13" t="s">
        <v>128</v>
      </c>
      <c r="D44" s="13" t="s">
        <v>9</v>
      </c>
      <c r="E44" s="13" t="s">
        <v>622</v>
      </c>
      <c r="F44" s="23" t="s">
        <v>20</v>
      </c>
      <c r="G44" s="13" t="s">
        <v>890</v>
      </c>
      <c r="H44" s="13" t="s">
        <v>129</v>
      </c>
      <c r="I44" s="13" t="s">
        <v>889</v>
      </c>
      <c r="J44" s="13" t="s">
        <v>9</v>
      </c>
      <c r="K44" s="14" t="str">
        <f t="shared" ref="K44:K47" si="10">_xlfn.CONCAT("R-", D44,"-",E44," ",_xlfn.IFS(F44 ="±0,1", "B", F44 = "±0,25", "C", F44 = "±0,5", "D", F44 = "±1%", "F",F44="±2%","G",F44="±5%", "J", F44="±10%", "K", F44="±20%", "M"))</f>
        <v>R-0402-5K76 F</v>
      </c>
      <c r="L44" s="13" t="str">
        <f t="shared" ref="L44:L47" si="11">K44</f>
        <v>R-0402-5K76 F</v>
      </c>
    </row>
    <row r="45" spans="1:12" x14ac:dyDescent="0.25">
      <c r="A45" s="13" t="s">
        <v>638</v>
      </c>
      <c r="B45" s="3" t="s">
        <v>639</v>
      </c>
      <c r="C45" s="13" t="s">
        <v>128</v>
      </c>
      <c r="D45" s="5" t="s">
        <v>9</v>
      </c>
      <c r="E45" s="13" t="s">
        <v>640</v>
      </c>
      <c r="F45" s="23" t="s">
        <v>20</v>
      </c>
      <c r="G45" s="13" t="s">
        <v>890</v>
      </c>
      <c r="H45" s="13" t="s">
        <v>129</v>
      </c>
      <c r="I45" s="13" t="s">
        <v>889</v>
      </c>
      <c r="J45" s="13" t="s">
        <v>9</v>
      </c>
      <c r="K45" s="14" t="str">
        <f t="shared" si="10"/>
        <v>R-0402-330R F</v>
      </c>
      <c r="L45" s="13" t="str">
        <f t="shared" si="11"/>
        <v>R-0402-330R F</v>
      </c>
    </row>
    <row r="46" spans="1:12" x14ac:dyDescent="0.25">
      <c r="A46" s="13" t="s">
        <v>644</v>
      </c>
      <c r="B46" s="3" t="s">
        <v>645</v>
      </c>
      <c r="C46" s="13" t="s">
        <v>128</v>
      </c>
      <c r="D46" s="5" t="s">
        <v>9</v>
      </c>
      <c r="E46" s="13" t="s">
        <v>646</v>
      </c>
      <c r="F46" s="23" t="s">
        <v>20</v>
      </c>
      <c r="G46" s="13" t="s">
        <v>890</v>
      </c>
      <c r="H46" s="13" t="s">
        <v>129</v>
      </c>
      <c r="I46" s="13" t="s">
        <v>889</v>
      </c>
      <c r="J46" s="13" t="s">
        <v>9</v>
      </c>
      <c r="K46" s="14" t="str">
        <f t="shared" si="10"/>
        <v>R-0402-120R F</v>
      </c>
      <c r="L46" s="13" t="str">
        <f t="shared" si="11"/>
        <v>R-0402-120R F</v>
      </c>
    </row>
    <row r="47" spans="1:12" x14ac:dyDescent="0.25">
      <c r="A47" s="13" t="s">
        <v>853</v>
      </c>
      <c r="B47" s="13" t="s">
        <v>852</v>
      </c>
      <c r="C47" s="13" t="s">
        <v>128</v>
      </c>
      <c r="D47" s="5" t="s">
        <v>9</v>
      </c>
      <c r="E47" s="13" t="s">
        <v>854</v>
      </c>
      <c r="F47" s="23" t="s">
        <v>20</v>
      </c>
      <c r="G47" s="13" t="s">
        <v>890</v>
      </c>
      <c r="H47" s="13" t="s">
        <v>129</v>
      </c>
      <c r="I47" s="13" t="s">
        <v>889</v>
      </c>
      <c r="J47" s="13" t="s">
        <v>9</v>
      </c>
      <c r="K47" s="14" t="str">
        <f t="shared" si="10"/>
        <v>R-0402-52K3 F</v>
      </c>
      <c r="L47" s="13" t="str">
        <f t="shared" si="11"/>
        <v>R-0402-52K3 F</v>
      </c>
    </row>
    <row r="48" spans="1:12" x14ac:dyDescent="0.25">
      <c r="A48" s="13" t="s">
        <v>648</v>
      </c>
      <c r="B48" s="13" t="s">
        <v>731</v>
      </c>
      <c r="C48" s="13" t="s">
        <v>128</v>
      </c>
      <c r="D48" s="5" t="s">
        <v>9</v>
      </c>
      <c r="E48" s="13" t="s">
        <v>649</v>
      </c>
      <c r="F48" s="23" t="s">
        <v>20</v>
      </c>
      <c r="G48" s="13" t="s">
        <v>890</v>
      </c>
      <c r="H48" s="13" t="s">
        <v>129</v>
      </c>
      <c r="I48" s="13" t="s">
        <v>889</v>
      </c>
      <c r="J48" s="13" t="s">
        <v>9</v>
      </c>
      <c r="K48" s="14" t="str">
        <f t="shared" ref="K48:K49" si="12">_xlfn.CONCAT("R-", D48,"-",E48," ",_xlfn.IFS(F48 ="±0,1", "B", F48 = "±0,25", "C", F48 = "±0,5", "D", F48 = "±1%", "F",F48="±2%","G",F48="±5%", "J", F48="±10%", "K", F48="±20%", "M"))</f>
        <v>R-0402-75K F</v>
      </c>
      <c r="L48" s="13" t="str">
        <f t="shared" ref="L48:L49" si="13">K48</f>
        <v>R-0402-75K F</v>
      </c>
    </row>
    <row r="49" spans="1:12" x14ac:dyDescent="0.25">
      <c r="A49" s="13" t="s">
        <v>723</v>
      </c>
      <c r="B49" s="3" t="s">
        <v>724</v>
      </c>
      <c r="C49" s="13" t="s">
        <v>128</v>
      </c>
      <c r="D49" s="13" t="s">
        <v>25</v>
      </c>
      <c r="E49" s="13" t="s">
        <v>333</v>
      </c>
      <c r="F49" s="23" t="s">
        <v>20</v>
      </c>
      <c r="G49" s="13" t="s">
        <v>890</v>
      </c>
      <c r="H49" s="13" t="s">
        <v>129</v>
      </c>
      <c r="I49" s="13" t="s">
        <v>889</v>
      </c>
      <c r="J49" s="13" t="s">
        <v>25</v>
      </c>
      <c r="K49" s="14" t="str">
        <f t="shared" si="12"/>
        <v>R-0201-100R F</v>
      </c>
      <c r="L49" s="13" t="str">
        <f t="shared" si="13"/>
        <v>R-0201-100R F</v>
      </c>
    </row>
    <row r="50" spans="1:12" x14ac:dyDescent="0.25">
      <c r="A50" s="13" t="s">
        <v>743</v>
      </c>
      <c r="B50" s="3" t="s">
        <v>744</v>
      </c>
      <c r="C50" s="13" t="s">
        <v>128</v>
      </c>
      <c r="D50" s="13" t="s">
        <v>9</v>
      </c>
      <c r="E50" s="13" t="s">
        <v>748</v>
      </c>
      <c r="F50" s="23" t="s">
        <v>20</v>
      </c>
      <c r="G50" s="13" t="s">
        <v>890</v>
      </c>
      <c r="H50" s="13" t="s">
        <v>129</v>
      </c>
      <c r="I50" s="13" t="s">
        <v>889</v>
      </c>
      <c r="J50" s="13" t="s">
        <v>9</v>
      </c>
      <c r="K50" s="14" t="str">
        <f t="shared" ref="K50" si="14">_xlfn.CONCAT("R-", D50,"-",E50," ",_xlfn.IFS(F50 ="±0,1", "B", F50 = "±0,25", "C", F50 = "±0,5", "D", F50 = "±1%", "F",F50="±2%","G",F50="±5%", "J", F50="±10%", "K", F50="±20%", "M"))</f>
        <v>R-0402-22K1 F</v>
      </c>
      <c r="L50" s="13" t="str">
        <f t="shared" ref="L50" si="15">K50</f>
        <v>R-0402-22K1 F</v>
      </c>
    </row>
    <row r="51" spans="1:12" x14ac:dyDescent="0.25">
      <c r="A51" s="13" t="s">
        <v>745</v>
      </c>
      <c r="B51" s="3" t="s">
        <v>746</v>
      </c>
      <c r="C51" s="13" t="s">
        <v>128</v>
      </c>
      <c r="D51" s="13" t="s">
        <v>9</v>
      </c>
      <c r="E51" s="13" t="s">
        <v>747</v>
      </c>
      <c r="F51" s="23" t="s">
        <v>20</v>
      </c>
      <c r="G51" s="13" t="s">
        <v>890</v>
      </c>
      <c r="H51" s="13" t="s">
        <v>129</v>
      </c>
      <c r="I51" s="13" t="s">
        <v>889</v>
      </c>
      <c r="J51" s="13" t="s">
        <v>9</v>
      </c>
      <c r="K51" s="14" t="str">
        <f t="shared" ref="K51" si="16">_xlfn.CONCAT("R-", D51,"-",E51," ",_xlfn.IFS(F51 ="±0,1", "B", F51 = "±0,25", "C", F51 = "±0,5", "D", F51 = "±1%", "F",F51="±2%","G",F51="±5%", "J", F51="±10%", "K", F51="±20%", "M"))</f>
        <v>R-0402-93K1 F</v>
      </c>
      <c r="L51" s="13" t="str">
        <f t="shared" ref="L51" si="17">K51</f>
        <v>R-0402-93K1 F</v>
      </c>
    </row>
    <row r="52" spans="1:12" x14ac:dyDescent="0.25">
      <c r="A52" s="13" t="s">
        <v>749</v>
      </c>
      <c r="B52" s="3" t="s">
        <v>750</v>
      </c>
      <c r="C52" s="13" t="s">
        <v>128</v>
      </c>
      <c r="D52" s="13" t="s">
        <v>9</v>
      </c>
      <c r="E52" s="13" t="s">
        <v>751</v>
      </c>
      <c r="F52" s="23" t="s">
        <v>20</v>
      </c>
      <c r="G52" s="13" t="s">
        <v>890</v>
      </c>
      <c r="H52" s="13" t="s">
        <v>129</v>
      </c>
      <c r="I52" s="13" t="s">
        <v>889</v>
      </c>
      <c r="J52" s="13" t="s">
        <v>9</v>
      </c>
      <c r="K52" s="14" t="str">
        <f t="shared" ref="K52" si="18">_xlfn.CONCAT("R-", D52,"-",E52," ",_xlfn.IFS(F52 ="±0,1", "B", F52 = "±0,25", "C", F52 = "±0,5", "D", F52 = "±1%", "F",F52="±2%","G",F52="±5%", "J", F52="±10%", "K", F52="±20%", "M"))</f>
        <v>R-0402-165K F</v>
      </c>
      <c r="L52" s="13" t="str">
        <f t="shared" ref="L52" si="19">K52</f>
        <v>R-0402-165K F</v>
      </c>
    </row>
    <row r="53" spans="1:12" x14ac:dyDescent="0.25">
      <c r="A53" s="13" t="s">
        <v>752</v>
      </c>
      <c r="B53" s="3" t="s">
        <v>753</v>
      </c>
      <c r="C53" s="13" t="s">
        <v>128</v>
      </c>
      <c r="D53" s="13" t="s">
        <v>9</v>
      </c>
      <c r="E53" s="13" t="s">
        <v>754</v>
      </c>
      <c r="F53" s="23" t="s">
        <v>20</v>
      </c>
      <c r="G53" s="13" t="s">
        <v>890</v>
      </c>
      <c r="H53" s="13" t="s">
        <v>129</v>
      </c>
      <c r="I53" s="13" t="s">
        <v>889</v>
      </c>
      <c r="J53" s="13" t="s">
        <v>9</v>
      </c>
      <c r="K53" s="14" t="str">
        <f t="shared" ref="K53" si="20">_xlfn.CONCAT("R-", D53,"-",E53," ",_xlfn.IFS(F53 ="±0,1", "B", F53 = "±0,25", "C", F53 = "±0,5", "D", F53 = "±1%", "F",F53="±2%","G",F53="±5%", "J", F53="±10%", "K", F53="±20%", "M"))</f>
        <v>R-0402-30K1 F</v>
      </c>
      <c r="L53" s="13" t="str">
        <f t="shared" ref="L53" si="21">K53</f>
        <v>R-0402-30K1 F</v>
      </c>
    </row>
    <row r="54" spans="1:12" x14ac:dyDescent="0.25">
      <c r="A54" s="13" t="s">
        <v>781</v>
      </c>
      <c r="B54" s="3" t="s">
        <v>782</v>
      </c>
      <c r="C54" s="13" t="s">
        <v>128</v>
      </c>
      <c r="D54" s="13" t="s">
        <v>9</v>
      </c>
      <c r="E54" s="13" t="s">
        <v>783</v>
      </c>
      <c r="F54" s="23" t="s">
        <v>20</v>
      </c>
      <c r="G54" s="13" t="s">
        <v>890</v>
      </c>
      <c r="H54" s="13" t="s">
        <v>129</v>
      </c>
      <c r="I54" s="13" t="s">
        <v>889</v>
      </c>
      <c r="J54" s="13" t="s">
        <v>9</v>
      </c>
      <c r="K54" s="14" t="str">
        <f t="shared" ref="K54" si="22">_xlfn.CONCAT("R-", D54,"-",E54," ",_xlfn.IFS(F54 ="±0,1", "B", F54 = "±0,25", "C", F54 = "±0,5", "D", F54 = "±1%", "F",F54="±2%","G",F54="±5%", "J", F54="±10%", "K", F54="±20%", "M"))</f>
        <v>R-0402-25K5 F</v>
      </c>
      <c r="L54" s="13" t="str">
        <f t="shared" ref="L54" si="23">K54</f>
        <v>R-0402-25K5 F</v>
      </c>
    </row>
    <row r="55" spans="1:12" x14ac:dyDescent="0.25">
      <c r="A55" s="13" t="s">
        <v>790</v>
      </c>
      <c r="B55" s="3" t="s">
        <v>791</v>
      </c>
      <c r="C55" s="13" t="s">
        <v>128</v>
      </c>
      <c r="D55" s="13" t="s">
        <v>9</v>
      </c>
      <c r="E55" s="13" t="s">
        <v>792</v>
      </c>
      <c r="F55" s="23" t="s">
        <v>20</v>
      </c>
      <c r="G55" s="13" t="s">
        <v>890</v>
      </c>
      <c r="H55" s="13" t="s">
        <v>129</v>
      </c>
      <c r="I55" s="13" t="s">
        <v>889</v>
      </c>
      <c r="J55" s="13" t="s">
        <v>9</v>
      </c>
      <c r="K55" s="14" t="str">
        <f t="shared" ref="K55" si="24">_xlfn.CONCAT("R-", D55,"-",E55," ",_xlfn.IFS(F55 ="±0,1", "B", F55 = "±0,25", "C", F55 = "±0,5", "D", F55 = "±1%", "F",F55="±2%","G",F55="±5%", "J", F55="±10%", "K", F55="±20%", "M"))</f>
        <v>R-0402-49K9 F</v>
      </c>
      <c r="L55" s="13" t="str">
        <f t="shared" ref="L55" si="25">K55</f>
        <v>R-0402-49K9 F</v>
      </c>
    </row>
    <row r="56" spans="1:12" x14ac:dyDescent="0.25">
      <c r="A56" s="13" t="s">
        <v>793</v>
      </c>
      <c r="B56" s="3" t="s">
        <v>794</v>
      </c>
      <c r="C56" s="13" t="s">
        <v>128</v>
      </c>
      <c r="D56" s="13" t="s">
        <v>9</v>
      </c>
      <c r="E56" s="13" t="s">
        <v>795</v>
      </c>
      <c r="F56" s="23" t="s">
        <v>20</v>
      </c>
      <c r="G56" s="13" t="s">
        <v>890</v>
      </c>
      <c r="H56" s="13" t="s">
        <v>129</v>
      </c>
      <c r="I56" s="13" t="s">
        <v>889</v>
      </c>
      <c r="J56" s="13" t="s">
        <v>9</v>
      </c>
      <c r="K56" s="14" t="str">
        <f t="shared" ref="K56:K58" si="26">_xlfn.CONCAT("R-", D56,"-",E56," ",_xlfn.IFS(F56 ="±0,1", "B", F56 = "±0,25", "C", F56 = "±0,5", "D", F56 = "±1%", "F",F56="±2%","G",F56="±5%", "J", F56="±10%", "K", F56="±20%", "M"))</f>
        <v>R-0402-12K4 F</v>
      </c>
      <c r="L56" s="13" t="str">
        <f t="shared" ref="L56:L58" si="27">K56</f>
        <v>R-0402-12K4 F</v>
      </c>
    </row>
    <row r="57" spans="1:12" x14ac:dyDescent="0.25">
      <c r="A57" s="13" t="s">
        <v>805</v>
      </c>
      <c r="B57" s="3" t="s">
        <v>806</v>
      </c>
      <c r="C57" s="13" t="s">
        <v>128</v>
      </c>
      <c r="D57" s="5" t="s">
        <v>9</v>
      </c>
      <c r="E57" s="13" t="s">
        <v>807</v>
      </c>
      <c r="F57" s="23" t="s">
        <v>20</v>
      </c>
      <c r="G57" s="13" t="s">
        <v>890</v>
      </c>
      <c r="H57" s="13" t="s">
        <v>129</v>
      </c>
      <c r="I57" s="13" t="s">
        <v>889</v>
      </c>
      <c r="J57" s="13" t="s">
        <v>9</v>
      </c>
      <c r="K57" s="14" t="str">
        <f t="shared" si="26"/>
        <v>R-0402-49R9 F</v>
      </c>
      <c r="L57" s="13" t="str">
        <f t="shared" si="27"/>
        <v>R-0402-49R9 F</v>
      </c>
    </row>
    <row r="58" spans="1:12" x14ac:dyDescent="0.25">
      <c r="A58" s="13" t="s">
        <v>808</v>
      </c>
      <c r="B58" s="3" t="s">
        <v>809</v>
      </c>
      <c r="C58" s="13" t="s">
        <v>128</v>
      </c>
      <c r="D58" s="5" t="s">
        <v>9</v>
      </c>
      <c r="E58" s="13" t="s">
        <v>810</v>
      </c>
      <c r="F58" s="23" t="s">
        <v>20</v>
      </c>
      <c r="G58" s="13" t="s">
        <v>890</v>
      </c>
      <c r="H58" s="13" t="s">
        <v>129</v>
      </c>
      <c r="I58" s="13" t="s">
        <v>889</v>
      </c>
      <c r="J58" s="13" t="s">
        <v>9</v>
      </c>
      <c r="K58" s="14" t="str">
        <f t="shared" si="26"/>
        <v>R-0402-1K1 F</v>
      </c>
      <c r="L58" s="13" t="str">
        <f t="shared" si="27"/>
        <v>R-0402-1K1 F</v>
      </c>
    </row>
    <row r="59" spans="1:12" x14ac:dyDescent="0.25">
      <c r="A59" s="13" t="s">
        <v>824</v>
      </c>
      <c r="B59" s="3" t="s">
        <v>825</v>
      </c>
      <c r="C59" s="13" t="s">
        <v>128</v>
      </c>
      <c r="D59" s="5" t="s">
        <v>9</v>
      </c>
      <c r="E59" s="13" t="s">
        <v>826</v>
      </c>
      <c r="F59" s="23" t="s">
        <v>20</v>
      </c>
      <c r="G59" s="13" t="s">
        <v>890</v>
      </c>
      <c r="H59" s="13" t="s">
        <v>129</v>
      </c>
      <c r="I59" s="13" t="s">
        <v>889</v>
      </c>
      <c r="J59" s="13" t="s">
        <v>9</v>
      </c>
      <c r="K59" s="14" t="str">
        <f t="shared" ref="K59" si="28">_xlfn.CONCAT("R-", D59,"-",E59," ",_xlfn.IFS(F59 ="±0,1", "B", F59 = "±0,25", "C", F59 = "±0,5", "D", F59 = "±1%", "F",F59="±2%","G",F59="±5%", "J", F59="±10%", "K", F59="±20%", "M"))</f>
        <v>R-0402-69R8 F</v>
      </c>
      <c r="L59" s="13" t="str">
        <f t="shared" ref="L59" si="29">K59</f>
        <v>R-0402-69R8 F</v>
      </c>
    </row>
    <row r="60" spans="1:12" x14ac:dyDescent="0.25">
      <c r="A60" s="13" t="s">
        <v>827</v>
      </c>
      <c r="B60" s="3" t="s">
        <v>828</v>
      </c>
      <c r="C60" s="13" t="s">
        <v>128</v>
      </c>
      <c r="D60" s="5" t="s">
        <v>9</v>
      </c>
      <c r="E60" s="13" t="s">
        <v>829</v>
      </c>
      <c r="F60" s="23" t="s">
        <v>20</v>
      </c>
      <c r="G60" s="13" t="s">
        <v>890</v>
      </c>
      <c r="H60" s="13" t="s">
        <v>129</v>
      </c>
      <c r="I60" s="13" t="s">
        <v>889</v>
      </c>
      <c r="J60" s="13" t="s">
        <v>9</v>
      </c>
      <c r="K60" s="14" t="str">
        <f t="shared" ref="K60:K61" si="30">_xlfn.CONCAT("R-", D60,"-",E60," ",_xlfn.IFS(F60 ="±0,1", "B", F60 = "±0,25", "C", F60 = "±0,5", "D", F60 = "±1%", "F",F60="±2%","G",F60="±5%", "J", F60="±10%", "K", F60="±20%", "M"))</f>
        <v>R-0402-221R F</v>
      </c>
      <c r="L60" s="13" t="str">
        <f t="shared" ref="L60:L61" si="31">K60</f>
        <v>R-0402-221R F</v>
      </c>
    </row>
    <row r="61" spans="1:12" x14ac:dyDescent="0.25">
      <c r="A61" s="13" t="s">
        <v>838</v>
      </c>
      <c r="B61" s="3" t="s">
        <v>839</v>
      </c>
      <c r="C61" s="13" t="s">
        <v>128</v>
      </c>
      <c r="D61" s="5" t="s">
        <v>9</v>
      </c>
      <c r="E61" s="13" t="s">
        <v>840</v>
      </c>
      <c r="F61" s="23" t="s">
        <v>20</v>
      </c>
      <c r="G61" s="13" t="s">
        <v>890</v>
      </c>
      <c r="H61" s="13" t="s">
        <v>129</v>
      </c>
      <c r="I61" s="13" t="s">
        <v>889</v>
      </c>
      <c r="J61" s="13" t="s">
        <v>9</v>
      </c>
      <c r="K61" s="14" t="str">
        <f t="shared" si="30"/>
        <v>R-0402-36K F</v>
      </c>
      <c r="L61" s="13" t="str">
        <f t="shared" si="31"/>
        <v>R-0402-36K F</v>
      </c>
    </row>
    <row r="62" spans="1:12" x14ac:dyDescent="0.25">
      <c r="A62" s="13" t="s">
        <v>849</v>
      </c>
      <c r="B62" s="3" t="s">
        <v>851</v>
      </c>
      <c r="C62" s="13" t="s">
        <v>128</v>
      </c>
      <c r="D62" s="5" t="s">
        <v>9</v>
      </c>
      <c r="E62" s="13" t="s">
        <v>850</v>
      </c>
      <c r="F62" s="23" t="s">
        <v>20</v>
      </c>
      <c r="G62" s="13" t="s">
        <v>890</v>
      </c>
      <c r="H62" s="13" t="s">
        <v>129</v>
      </c>
      <c r="I62" s="13" t="s">
        <v>889</v>
      </c>
      <c r="J62" s="13" t="s">
        <v>9</v>
      </c>
      <c r="K62" s="14" t="str">
        <f t="shared" ref="K62:K63" si="32">_xlfn.CONCAT("R-", D62,"-",E62," ",_xlfn.IFS(F62 ="±0,1", "B", F62 = "±0,25", "C", F62 = "±0,5", "D", F62 = "±1%", "F",F62="±2%","G",F62="±5%", "J", F62="±10%", "K", F62="±20%", "M"))</f>
        <v>R-0402-196K F</v>
      </c>
      <c r="L62" s="13" t="str">
        <f t="shared" ref="L62:L63" si="33">K62</f>
        <v>R-0402-196K F</v>
      </c>
    </row>
    <row r="63" spans="1:12" x14ac:dyDescent="0.25">
      <c r="A63" s="13" t="s">
        <v>866</v>
      </c>
      <c r="B63" s="3" t="s">
        <v>982</v>
      </c>
      <c r="C63" s="13" t="s">
        <v>128</v>
      </c>
      <c r="D63" s="13" t="s">
        <v>25</v>
      </c>
      <c r="E63" s="13" t="s">
        <v>867</v>
      </c>
      <c r="F63" s="23" t="s">
        <v>20</v>
      </c>
      <c r="G63" s="13" t="s">
        <v>890</v>
      </c>
      <c r="H63" s="13" t="s">
        <v>129</v>
      </c>
      <c r="I63" s="13" t="s">
        <v>889</v>
      </c>
      <c r="J63" s="13" t="s">
        <v>25</v>
      </c>
      <c r="K63" s="14" t="str">
        <f t="shared" si="32"/>
        <v>R-0201-22R F</v>
      </c>
      <c r="L63" s="13" t="str">
        <f t="shared" si="33"/>
        <v>R-0201-22R F</v>
      </c>
    </row>
    <row r="64" spans="1:12" x14ac:dyDescent="0.25">
      <c r="A64" s="13" t="s">
        <v>868</v>
      </c>
      <c r="B64" s="3" t="s">
        <v>983</v>
      </c>
      <c r="C64" s="13" t="s">
        <v>128</v>
      </c>
      <c r="D64" s="13" t="s">
        <v>25</v>
      </c>
      <c r="E64" s="13" t="s">
        <v>869</v>
      </c>
      <c r="F64" s="23" t="s">
        <v>20</v>
      </c>
      <c r="G64" s="13" t="s">
        <v>890</v>
      </c>
      <c r="H64" s="13" t="s">
        <v>129</v>
      </c>
      <c r="I64" s="13" t="s">
        <v>889</v>
      </c>
      <c r="J64" s="13" t="s">
        <v>25</v>
      </c>
      <c r="K64" s="14" t="str">
        <f t="shared" ref="K64" si="34">_xlfn.CONCAT("R-", D64,"-",E64," ",_xlfn.IFS(F64 ="±0,1", "B", F64 = "±0,25", "C", F64 = "±0,5", "D", F64 = "±1%", "F",F64="±2%","G",F64="±5%", "J", F64="±10%", "K", F64="±20%", "M"))</f>
        <v>R-0201-56R F</v>
      </c>
      <c r="L64" s="13" t="str">
        <f t="shared" ref="L64" si="35">K64</f>
        <v>R-0201-56R F</v>
      </c>
    </row>
    <row r="65" spans="1:12" x14ac:dyDescent="0.25">
      <c r="A65" s="13" t="s">
        <v>882</v>
      </c>
      <c r="B65" s="3" t="s">
        <v>984</v>
      </c>
      <c r="C65" s="13" t="s">
        <v>128</v>
      </c>
      <c r="D65" s="13" t="s">
        <v>25</v>
      </c>
      <c r="E65" s="13" t="s">
        <v>807</v>
      </c>
      <c r="F65" s="23" t="s">
        <v>20</v>
      </c>
      <c r="G65" s="13" t="s">
        <v>890</v>
      </c>
      <c r="H65" s="13" t="s">
        <v>129</v>
      </c>
      <c r="I65" s="13" t="s">
        <v>889</v>
      </c>
      <c r="J65" s="13" t="s">
        <v>25</v>
      </c>
      <c r="K65" s="14" t="str">
        <f t="shared" ref="K65:K66" si="36">_xlfn.CONCAT("R-", D65,"-",E65," ",_xlfn.IFS(F65 ="±0,1", "B", F65 = "±0,25", "C", F65 = "±0,5", "D", F65 = "±1%", "F",F65="±2%","G",F65="±5%", "J", F65="±10%", "K", F65="±20%", "M"))</f>
        <v>R-0201-49R9 F</v>
      </c>
      <c r="L65" s="13" t="str">
        <f t="shared" ref="L65:L66" si="37">K65</f>
        <v>R-0201-49R9 F</v>
      </c>
    </row>
    <row r="66" spans="1:12" x14ac:dyDescent="0.25">
      <c r="A66" s="13" t="s">
        <v>967</v>
      </c>
      <c r="B66" s="3" t="s">
        <v>981</v>
      </c>
      <c r="C66" s="13" t="s">
        <v>128</v>
      </c>
      <c r="D66" s="5" t="s">
        <v>9</v>
      </c>
      <c r="E66" s="13" t="s">
        <v>968</v>
      </c>
      <c r="F66" s="23" t="s">
        <v>20</v>
      </c>
      <c r="G66" s="13" t="s">
        <v>890</v>
      </c>
      <c r="H66" s="13" t="s">
        <v>129</v>
      </c>
      <c r="I66" s="13" t="s">
        <v>889</v>
      </c>
      <c r="J66" s="13" t="s">
        <v>9</v>
      </c>
      <c r="K66" s="14" t="str">
        <f t="shared" si="36"/>
        <v>R-0402-2K37 F</v>
      </c>
      <c r="L66" s="13" t="str">
        <f t="shared" si="37"/>
        <v>R-0402-2K37 F</v>
      </c>
    </row>
    <row r="67" spans="1:12" x14ac:dyDescent="0.25">
      <c r="A67" s="13" t="s">
        <v>978</v>
      </c>
      <c r="B67" s="3" t="s">
        <v>980</v>
      </c>
      <c r="C67" s="13" t="s">
        <v>128</v>
      </c>
      <c r="D67" s="5" t="s">
        <v>9</v>
      </c>
      <c r="E67" s="13" t="s">
        <v>979</v>
      </c>
      <c r="F67" s="23" t="s">
        <v>20</v>
      </c>
      <c r="G67" s="13" t="s">
        <v>890</v>
      </c>
      <c r="H67" s="13" t="s">
        <v>129</v>
      </c>
      <c r="I67" s="13" t="s">
        <v>889</v>
      </c>
      <c r="J67" s="13" t="s">
        <v>9</v>
      </c>
      <c r="K67" s="14" t="str">
        <f t="shared" ref="K67:K70" si="38">_xlfn.CONCAT("R-", D67,"-",E67," ",_xlfn.IFS(F67 ="±0,1", "B", F67 = "±0,25", "C", F67 = "±0,5", "D", F67 = "±1%", "F",F67="±2%","G",F67="±5%", "J", F67="±10%", "K", F67="±20%", "M"))</f>
        <v>R-0402-11K8 F</v>
      </c>
      <c r="L67" s="13" t="str">
        <f t="shared" ref="L67:L70" si="39">K67</f>
        <v>R-0402-11K8 F</v>
      </c>
    </row>
    <row r="68" spans="1:12" x14ac:dyDescent="0.25">
      <c r="A68" s="13" t="s">
        <v>987</v>
      </c>
      <c r="B68" s="3" t="s">
        <v>985</v>
      </c>
      <c r="C68" s="13" t="s">
        <v>128</v>
      </c>
      <c r="D68" s="5" t="s">
        <v>9</v>
      </c>
      <c r="E68" s="13" t="s">
        <v>986</v>
      </c>
      <c r="F68" s="23" t="s">
        <v>20</v>
      </c>
      <c r="G68" s="13" t="s">
        <v>890</v>
      </c>
      <c r="H68" s="13" t="s">
        <v>129</v>
      </c>
      <c r="I68" s="13" t="s">
        <v>889</v>
      </c>
      <c r="J68" s="13" t="s">
        <v>9</v>
      </c>
      <c r="K68" s="14" t="str">
        <f t="shared" si="38"/>
        <v>R-0402-3K74 F</v>
      </c>
      <c r="L68" s="13" t="str">
        <f t="shared" si="39"/>
        <v>R-0402-3K74 F</v>
      </c>
    </row>
    <row r="69" spans="1:12" x14ac:dyDescent="0.25">
      <c r="A69" s="13" t="s">
        <v>988</v>
      </c>
      <c r="B69" s="13" t="s">
        <v>990</v>
      </c>
      <c r="C69" s="13" t="s">
        <v>128</v>
      </c>
      <c r="D69" s="5" t="s">
        <v>9</v>
      </c>
      <c r="E69" s="13" t="s">
        <v>989</v>
      </c>
      <c r="F69" s="23" t="s">
        <v>20</v>
      </c>
      <c r="G69" s="13" t="s">
        <v>890</v>
      </c>
      <c r="H69" s="13" t="s">
        <v>129</v>
      </c>
      <c r="I69" s="13" t="s">
        <v>889</v>
      </c>
      <c r="J69" s="13" t="s">
        <v>9</v>
      </c>
      <c r="K69" s="14" t="str">
        <f t="shared" si="38"/>
        <v>R-0402-3K01 F</v>
      </c>
      <c r="L69" s="13" t="str">
        <f t="shared" si="39"/>
        <v>R-0402-3K01 F</v>
      </c>
    </row>
    <row r="70" spans="1:12" x14ac:dyDescent="0.25">
      <c r="A70" s="13" t="s">
        <v>1037</v>
      </c>
      <c r="B70" s="3" t="s">
        <v>1038</v>
      </c>
      <c r="C70" s="13" t="s">
        <v>128</v>
      </c>
      <c r="D70" s="5" t="s">
        <v>9</v>
      </c>
      <c r="E70" s="13" t="s">
        <v>1039</v>
      </c>
      <c r="F70" s="23" t="s">
        <v>20</v>
      </c>
      <c r="G70" s="13" t="s">
        <v>890</v>
      </c>
      <c r="H70" s="13" t="s">
        <v>129</v>
      </c>
      <c r="I70" s="13" t="s">
        <v>889</v>
      </c>
      <c r="J70" s="13" t="s">
        <v>9</v>
      </c>
      <c r="K70" s="14" t="str">
        <f t="shared" si="38"/>
        <v>R-0402-270K F</v>
      </c>
      <c r="L70" s="13" t="str">
        <f t="shared" si="39"/>
        <v>R-0402-270K F</v>
      </c>
    </row>
  </sheetData>
  <sheetProtection selectLockedCells="1" selectUnlockedCells="1"/>
  <sortState xmlns:xlrd2="http://schemas.microsoft.com/office/spreadsheetml/2017/richdata2" ref="A2:L33">
    <sortCondition ref="E2:E33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EF1F9-9D6F-4FE0-AE87-BEB5ED138C75}">
  <dimension ref="A1:M11"/>
  <sheetViews>
    <sheetView zoomScaleNormal="100" workbookViewId="0">
      <selection activeCell="C17" sqref="C17"/>
    </sheetView>
  </sheetViews>
  <sheetFormatPr defaultColWidth="11.125" defaultRowHeight="15.75" x14ac:dyDescent="0.25"/>
  <cols>
    <col min="1" max="1" width="24" style="13" customWidth="1"/>
    <col min="2" max="2" width="67.75" style="13" bestFit="1" customWidth="1"/>
    <col min="3" max="3" width="30" style="13" bestFit="1" customWidth="1"/>
    <col min="4" max="4" width="8.125" style="13" bestFit="1" customWidth="1"/>
    <col min="5" max="5" width="7.125" style="13" bestFit="1" customWidth="1"/>
    <col min="6" max="6" width="28.125" style="13" customWidth="1"/>
    <col min="7" max="7" width="16.25" style="13" bestFit="1" customWidth="1"/>
    <col min="8" max="8" width="24" style="13" customWidth="1"/>
    <col min="9" max="9" width="10.125" style="13" bestFit="1" customWidth="1"/>
    <col min="10" max="10" width="31.5" style="13" customWidth="1"/>
    <col min="11" max="11" width="12.125" style="13" bestFit="1" customWidth="1"/>
    <col min="12" max="12" width="21.875" style="13" bestFit="1" customWidth="1"/>
    <col min="13" max="13" width="24.25" style="13" customWidth="1"/>
    <col min="14" max="16384" width="11.125" style="13"/>
  </cols>
  <sheetData>
    <row r="1" spans="1:13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917</v>
      </c>
      <c r="G1" s="13" t="s">
        <v>909</v>
      </c>
      <c r="H1" s="13" t="s">
        <v>5</v>
      </c>
      <c r="I1" s="13" t="s">
        <v>6</v>
      </c>
      <c r="J1" s="13" t="s">
        <v>7</v>
      </c>
      <c r="K1" s="13" t="s">
        <v>8</v>
      </c>
      <c r="L1" s="22" t="s">
        <v>29</v>
      </c>
      <c r="M1" s="22" t="s">
        <v>36</v>
      </c>
    </row>
    <row r="2" spans="1:13" ht="20.100000000000001" customHeight="1" x14ac:dyDescent="0.25">
      <c r="A2" s="13" t="s">
        <v>195</v>
      </c>
      <c r="B2" s="3" t="s">
        <v>196</v>
      </c>
      <c r="C2" s="13" t="s">
        <v>194</v>
      </c>
      <c r="D2" s="13" t="s">
        <v>12</v>
      </c>
      <c r="E2" s="13" t="s">
        <v>345</v>
      </c>
      <c r="F2" t="s">
        <v>918</v>
      </c>
      <c r="G2" s="13" t="s">
        <v>910</v>
      </c>
      <c r="H2" s="2" t="s">
        <v>891</v>
      </c>
      <c r="I2" s="13" t="s">
        <v>13</v>
      </c>
      <c r="J2" s="13" t="s">
        <v>892</v>
      </c>
      <c r="K2" s="13" t="s">
        <v>64</v>
      </c>
      <c r="L2" s="14" t="str">
        <f>_xlfn.CONCAT(_xlfn.IFS(I2 = "IND", "L-",I2 = "Ferrite", "F-"),A2)</f>
        <v>L-0805LS-471XJEC</v>
      </c>
      <c r="M2" s="14" t="str">
        <f t="shared" ref="M2:M11" si="0">L2</f>
        <v>L-0805LS-471XJEC</v>
      </c>
    </row>
    <row r="3" spans="1:13" ht="20.100000000000001" customHeight="1" x14ac:dyDescent="0.25">
      <c r="A3" s="2" t="s">
        <v>197</v>
      </c>
      <c r="B3" s="3" t="s">
        <v>198</v>
      </c>
      <c r="C3" s="13" t="s">
        <v>194</v>
      </c>
      <c r="D3" s="13" t="s">
        <v>9</v>
      </c>
      <c r="E3" s="13" t="s">
        <v>344</v>
      </c>
      <c r="F3" t="s">
        <v>918</v>
      </c>
      <c r="G3" s="13" t="s">
        <v>913</v>
      </c>
      <c r="H3" s="2" t="s">
        <v>891</v>
      </c>
      <c r="I3" s="13" t="s">
        <v>13</v>
      </c>
      <c r="J3" s="13" t="s">
        <v>892</v>
      </c>
      <c r="K3" s="13" t="s">
        <v>928</v>
      </c>
      <c r="L3" s="14" t="str">
        <f>_xlfn.CONCAT(_xlfn.IFS(I3 = "IND", "L-",I3 = "Ferrite", "F-"),A3)</f>
        <v>L-0402FL-181XJRW</v>
      </c>
      <c r="M3" s="14" t="str">
        <f t="shared" si="0"/>
        <v>L-0402FL-181XJRW</v>
      </c>
    </row>
    <row r="4" spans="1:13" ht="20.100000000000001" customHeight="1" x14ac:dyDescent="0.25">
      <c r="A4" s="2" t="s">
        <v>341</v>
      </c>
      <c r="B4" s="3" t="s">
        <v>342</v>
      </c>
      <c r="C4" s="13" t="s">
        <v>194</v>
      </c>
      <c r="D4" s="13" t="s">
        <v>9</v>
      </c>
      <c r="E4" s="13" t="s">
        <v>343</v>
      </c>
      <c r="F4" t="s">
        <v>918</v>
      </c>
      <c r="G4" s="13" t="s">
        <v>912</v>
      </c>
      <c r="H4" s="2" t="s">
        <v>891</v>
      </c>
      <c r="I4" s="13" t="s">
        <v>13</v>
      </c>
      <c r="J4" s="13" t="s">
        <v>892</v>
      </c>
      <c r="K4" s="13" t="s">
        <v>928</v>
      </c>
      <c r="L4" s="14" t="str">
        <f>_xlfn.CONCAT(_xlfn.IFS(I4 = "IND", "L-",I4 = "Ferrite", "F-"),A4)</f>
        <v>L-0402FL-360XJRW</v>
      </c>
      <c r="M4" s="14" t="str">
        <f t="shared" si="0"/>
        <v>L-0402FL-360XJRW</v>
      </c>
    </row>
    <row r="5" spans="1:13" ht="20.100000000000001" customHeight="1" x14ac:dyDescent="0.25">
      <c r="A5" s="2" t="s">
        <v>346</v>
      </c>
      <c r="B5" s="3" t="s">
        <v>347</v>
      </c>
      <c r="C5" s="13" t="s">
        <v>194</v>
      </c>
      <c r="D5" s="13" t="s">
        <v>9</v>
      </c>
      <c r="E5" s="13" t="s">
        <v>348</v>
      </c>
      <c r="F5" t="s">
        <v>918</v>
      </c>
      <c r="G5" s="13" t="s">
        <v>912</v>
      </c>
      <c r="H5" s="2" t="s">
        <v>891</v>
      </c>
      <c r="I5" s="13" t="s">
        <v>13</v>
      </c>
      <c r="J5" s="13" t="s">
        <v>892</v>
      </c>
      <c r="K5" s="13" t="s">
        <v>928</v>
      </c>
      <c r="L5" s="14" t="str">
        <f>_xlfn.CONCAT(_xlfn.IFS(I5 = "IND", "L-",I5 = "Ferrite", "F-"),A5)</f>
        <v>L-0402FL-200XJRW</v>
      </c>
      <c r="M5" s="14" t="str">
        <f t="shared" si="0"/>
        <v>L-0402FL-200XJRW</v>
      </c>
    </row>
    <row r="6" spans="1:13" ht="20.100000000000001" customHeight="1" x14ac:dyDescent="0.25">
      <c r="A6" s="13" t="s">
        <v>693</v>
      </c>
      <c r="B6" s="3" t="s">
        <v>931</v>
      </c>
      <c r="C6" s="13" t="s">
        <v>80</v>
      </c>
      <c r="D6" s="13" t="s">
        <v>11</v>
      </c>
      <c r="E6" s="13" t="s">
        <v>694</v>
      </c>
      <c r="F6" t="s">
        <v>918</v>
      </c>
      <c r="G6" s="13" t="s">
        <v>911</v>
      </c>
      <c r="H6" s="2" t="s">
        <v>891</v>
      </c>
      <c r="I6" s="13" t="s">
        <v>13</v>
      </c>
      <c r="J6" s="13" t="s">
        <v>892</v>
      </c>
      <c r="K6" s="13" t="s">
        <v>934</v>
      </c>
      <c r="L6" s="14" t="str">
        <f>_xlfn.CONCAT(_xlfn.IFS(I6 = "IND", "L-",I6 = "Ferrite", "F-"),A6)</f>
        <v>L-LQW18AN10NG00</v>
      </c>
      <c r="M6" s="14" t="str">
        <f t="shared" si="0"/>
        <v>L-LQW18AN10NG00</v>
      </c>
    </row>
    <row r="7" spans="1:13" x14ac:dyDescent="0.25">
      <c r="A7" s="2" t="s">
        <v>922</v>
      </c>
      <c r="B7" s="3" t="s">
        <v>923</v>
      </c>
      <c r="C7" s="13" t="s">
        <v>194</v>
      </c>
      <c r="D7" s="13" t="s">
        <v>9</v>
      </c>
      <c r="E7" s="13" t="s">
        <v>925</v>
      </c>
      <c r="F7" t="s">
        <v>918</v>
      </c>
      <c r="G7" s="32" t="s">
        <v>924</v>
      </c>
      <c r="H7" s="2" t="s">
        <v>891</v>
      </c>
      <c r="I7" s="13" t="s">
        <v>13</v>
      </c>
      <c r="J7" s="13" t="s">
        <v>892</v>
      </c>
      <c r="K7" s="13" t="s">
        <v>926</v>
      </c>
      <c r="L7" s="14" t="str">
        <f>_xlfn.CONCAT(_xlfn.IFS(I7 = "IND", "L-",I7 = "Ferrite", "F-"),A7)</f>
        <v>L-0402CS-39NXGLW</v>
      </c>
      <c r="M7" s="14" t="str">
        <f t="shared" si="0"/>
        <v>L-0402CS-39NXGLW</v>
      </c>
    </row>
    <row r="8" spans="1:13" x14ac:dyDescent="0.25">
      <c r="A8" s="2" t="s">
        <v>929</v>
      </c>
      <c r="B8" s="3" t="s">
        <v>932</v>
      </c>
      <c r="C8" s="13" t="s">
        <v>80</v>
      </c>
      <c r="D8" s="13" t="s">
        <v>11</v>
      </c>
      <c r="E8" s="13" t="s">
        <v>930</v>
      </c>
      <c r="F8" t="s">
        <v>918</v>
      </c>
      <c r="G8" s="13" t="s">
        <v>936</v>
      </c>
      <c r="H8" s="2" t="s">
        <v>891</v>
      </c>
      <c r="I8" s="13" t="s">
        <v>13</v>
      </c>
      <c r="J8" s="13" t="s">
        <v>892</v>
      </c>
      <c r="K8" s="13" t="s">
        <v>934</v>
      </c>
      <c r="L8" s="14" t="str">
        <f>_xlfn.CONCAT(_xlfn.IFS(I8 = "IND", "L-",I8 = "Ferrite", "F-"),A8)</f>
        <v>L-LQW18AN18NG00D</v>
      </c>
      <c r="M8" s="14" t="str">
        <f t="shared" si="0"/>
        <v>L-LQW18AN18NG00D</v>
      </c>
    </row>
    <row r="9" spans="1:13" x14ac:dyDescent="0.25">
      <c r="A9" s="13" t="s">
        <v>933</v>
      </c>
      <c r="B9" s="13" t="s">
        <v>952</v>
      </c>
      <c r="C9" s="13" t="s">
        <v>80</v>
      </c>
      <c r="D9" s="13" t="s">
        <v>9</v>
      </c>
      <c r="E9" s="13" t="s">
        <v>930</v>
      </c>
      <c r="F9" t="s">
        <v>918</v>
      </c>
      <c r="G9" s="13" t="s">
        <v>935</v>
      </c>
      <c r="H9" s="2" t="s">
        <v>891</v>
      </c>
      <c r="I9" s="13" t="s">
        <v>13</v>
      </c>
      <c r="J9" s="13" t="s">
        <v>892</v>
      </c>
      <c r="K9" s="13" t="s">
        <v>927</v>
      </c>
      <c r="L9" s="14" t="str">
        <f>_xlfn.CONCAT(_xlfn.IFS(I9 = "IND", "L-",I9 = "Ferrite", "F-"),A9)</f>
        <v>L-LQW15AN18NG00D</v>
      </c>
      <c r="M9" s="14" t="str">
        <f t="shared" si="0"/>
        <v>L-LQW15AN18NG00D</v>
      </c>
    </row>
    <row r="10" spans="1:13" x14ac:dyDescent="0.25">
      <c r="A10" s="13" t="s">
        <v>951</v>
      </c>
      <c r="B10" s="13" t="s">
        <v>953</v>
      </c>
      <c r="C10" s="13" t="s">
        <v>194</v>
      </c>
      <c r="D10" s="13" t="s">
        <v>12</v>
      </c>
      <c r="E10" s="13" t="s">
        <v>954</v>
      </c>
      <c r="F10" t="s">
        <v>918</v>
      </c>
      <c r="G10" s="13" t="s">
        <v>955</v>
      </c>
      <c r="H10" s="2" t="s">
        <v>891</v>
      </c>
      <c r="I10" s="13" t="s">
        <v>13</v>
      </c>
      <c r="J10" s="13" t="s">
        <v>892</v>
      </c>
      <c r="K10" s="13" t="s">
        <v>956</v>
      </c>
      <c r="L10" s="14" t="str">
        <f>_xlfn.CONCAT(_xlfn.IFS(I10 = "IND", "L-",I10 = "Ferrite", "F-"),A10)</f>
        <v>L-0805CS-030XJRC</v>
      </c>
      <c r="M10" s="14" t="str">
        <f t="shared" si="0"/>
        <v>L-0805CS-030XJRC</v>
      </c>
    </row>
    <row r="11" spans="1:13" x14ac:dyDescent="0.25">
      <c r="A11" s="13" t="s">
        <v>970</v>
      </c>
      <c r="B11" s="13" t="s">
        <v>971</v>
      </c>
      <c r="C11" s="13" t="s">
        <v>80</v>
      </c>
      <c r="D11" s="13" t="s">
        <v>25</v>
      </c>
      <c r="E11" s="13" t="s">
        <v>972</v>
      </c>
      <c r="F11" t="s">
        <v>918</v>
      </c>
      <c r="G11" s="13" t="s">
        <v>973</v>
      </c>
      <c r="H11" s="2" t="s">
        <v>891</v>
      </c>
      <c r="I11" s="13" t="s">
        <v>13</v>
      </c>
      <c r="J11" s="13" t="s">
        <v>892</v>
      </c>
      <c r="K11" s="13" t="s">
        <v>974</v>
      </c>
      <c r="L11" s="14" t="str">
        <f>_xlfn.CONCAT(_xlfn.IFS(I11 = "IND", "L-",I11 = "Ferrite", "F-"),A11)</f>
        <v>L-LQP03HQ1N5C02D</v>
      </c>
      <c r="M11" s="14" t="str">
        <f t="shared" si="0"/>
        <v>L-LQP03HQ1N5C02D</v>
      </c>
    </row>
  </sheetData>
  <sheetProtection selectLockedCells="1" selectUnlockedCells="1"/>
  <phoneticPr fontId="3" type="noConversion"/>
  <pageMargins left="0.75" right="0.75" top="1" bottom="1" header="0.51180555555555551" footer="0.51180555555555551"/>
  <pageSetup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1C6DE-D099-40FE-9416-B104F9965BCA}">
  <dimension ref="A1:K10"/>
  <sheetViews>
    <sheetView zoomScale="85" zoomScaleNormal="85" workbookViewId="0">
      <selection activeCell="J18" sqref="J18"/>
    </sheetView>
  </sheetViews>
  <sheetFormatPr defaultRowHeight="15.75" x14ac:dyDescent="0.25"/>
  <cols>
    <col min="1" max="1" width="20" style="2" bestFit="1" customWidth="1"/>
    <col min="2" max="2" width="67.75" style="2" bestFit="1" customWidth="1"/>
    <col min="3" max="3" width="32.875" style="2" customWidth="1"/>
    <col min="4" max="4" width="13.75" style="2" customWidth="1"/>
    <col min="5" max="5" width="12.75" style="2" customWidth="1"/>
    <col min="6" max="7" width="24.5" style="2" bestFit="1" customWidth="1"/>
    <col min="8" max="9" width="26.25" style="2" bestFit="1" customWidth="1"/>
    <col min="10" max="11" width="21.625" style="2" bestFit="1" customWidth="1"/>
    <col min="12" max="16384" width="9" style="2"/>
  </cols>
  <sheetData>
    <row r="1" spans="1:11" s="13" customFormat="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2" t="s">
        <v>36</v>
      </c>
    </row>
    <row r="2" spans="1:11" s="13" customFormat="1" ht="20.100000000000001" customHeight="1" x14ac:dyDescent="0.25">
      <c r="A2" s="13" t="s">
        <v>146</v>
      </c>
      <c r="B2" s="15" t="s">
        <v>147</v>
      </c>
      <c r="C2" s="3" t="s">
        <v>148</v>
      </c>
      <c r="D2" s="13" t="s">
        <v>205</v>
      </c>
      <c r="E2" s="3" t="s">
        <v>1036</v>
      </c>
      <c r="F2" s="2" t="s">
        <v>891</v>
      </c>
      <c r="G2" s="13" t="s">
        <v>13</v>
      </c>
      <c r="H2" s="13" t="s">
        <v>892</v>
      </c>
      <c r="I2" s="13" t="s">
        <v>206</v>
      </c>
      <c r="J2" s="14" t="str">
        <f>_xlfn.CONCAT(_xlfn.IFS(G2 = "IND", "L-",G2 = "Ferrite", "F-"),A2)</f>
        <v>L-74477020</v>
      </c>
      <c r="K2" s="14" t="str">
        <f>J2</f>
        <v>L-74477020</v>
      </c>
    </row>
    <row r="3" spans="1:11" s="13" customFormat="1" ht="20.100000000000001" customHeight="1" x14ac:dyDescent="0.25">
      <c r="A3" s="13" t="s">
        <v>173</v>
      </c>
      <c r="B3" s="3" t="s">
        <v>170</v>
      </c>
      <c r="C3" s="3" t="s">
        <v>171</v>
      </c>
      <c r="D3" s="13" t="s">
        <v>172</v>
      </c>
      <c r="E3" s="3" t="s">
        <v>1035</v>
      </c>
      <c r="F3" s="2" t="s">
        <v>891</v>
      </c>
      <c r="G3" s="13" t="s">
        <v>13</v>
      </c>
      <c r="H3" s="13" t="s">
        <v>892</v>
      </c>
      <c r="I3" s="13" t="s">
        <v>172</v>
      </c>
      <c r="J3" s="14" t="str">
        <f t="shared" ref="J3:J10" si="0">_xlfn.CONCAT(_xlfn.IFS(G3 = "IND", "L-",G3 = "Ferrite", "F-"),A3)</f>
        <v>L-IHLP2525CZER100M5A</v>
      </c>
      <c r="K3" s="14" t="str">
        <f t="shared" ref="K3:K10" si="1">J3</f>
        <v>L-IHLP2525CZER100M5A</v>
      </c>
    </row>
    <row r="4" spans="1:11" s="13" customFormat="1" ht="20.100000000000001" customHeight="1" x14ac:dyDescent="0.25">
      <c r="A4" s="13" t="s">
        <v>421</v>
      </c>
      <c r="B4" s="15" t="s">
        <v>422</v>
      </c>
      <c r="C4" s="13" t="s">
        <v>423</v>
      </c>
      <c r="D4" s="13" t="s">
        <v>424</v>
      </c>
      <c r="E4" s="13" t="s">
        <v>1034</v>
      </c>
      <c r="F4" s="2" t="s">
        <v>891</v>
      </c>
      <c r="G4" s="13" t="s">
        <v>13</v>
      </c>
      <c r="H4" s="13" t="s">
        <v>892</v>
      </c>
      <c r="J4" s="14" t="str">
        <f t="shared" si="0"/>
        <v>L-PA5001.102NLT</v>
      </c>
      <c r="K4" s="14" t="str">
        <f t="shared" si="1"/>
        <v>L-PA5001.102NLT</v>
      </c>
    </row>
    <row r="5" spans="1:11" s="13" customFormat="1" ht="20.100000000000001" customHeight="1" x14ac:dyDescent="0.25">
      <c r="A5" s="2" t="s">
        <v>529</v>
      </c>
      <c r="B5" s="2" t="s">
        <v>530</v>
      </c>
      <c r="C5" s="13" t="s">
        <v>531</v>
      </c>
      <c r="D5" s="13" t="s">
        <v>532</v>
      </c>
      <c r="E5" s="13" t="s">
        <v>1033</v>
      </c>
      <c r="F5" s="2" t="s">
        <v>891</v>
      </c>
      <c r="G5" s="13" t="s">
        <v>13</v>
      </c>
      <c r="H5" s="13" t="s">
        <v>892</v>
      </c>
      <c r="J5" s="14" t="str">
        <f t="shared" si="0"/>
        <v>L-0618CDMCCDS-1R5MC</v>
      </c>
      <c r="K5" s="14" t="str">
        <f t="shared" si="1"/>
        <v>L-0618CDMCCDS-1R5MC</v>
      </c>
    </row>
    <row r="6" spans="1:11" s="13" customFormat="1" ht="20.100000000000001" customHeight="1" x14ac:dyDescent="0.25">
      <c r="A6" s="13" t="s">
        <v>835</v>
      </c>
      <c r="B6" s="25" t="s">
        <v>836</v>
      </c>
      <c r="C6" s="13" t="s">
        <v>148</v>
      </c>
      <c r="D6" s="13" t="s">
        <v>328</v>
      </c>
      <c r="E6" s="13" t="s">
        <v>837</v>
      </c>
      <c r="F6" s="2" t="s">
        <v>891</v>
      </c>
      <c r="G6" s="13" t="s">
        <v>13</v>
      </c>
      <c r="H6" s="13" t="s">
        <v>892</v>
      </c>
      <c r="I6" s="13" t="s">
        <v>881</v>
      </c>
      <c r="J6" s="14" t="str">
        <f t="shared" si="0"/>
        <v>L-744314047</v>
      </c>
      <c r="K6" s="14" t="str">
        <f t="shared" si="1"/>
        <v>L-744314047</v>
      </c>
    </row>
    <row r="7" spans="1:11" s="13" customFormat="1" ht="20.100000000000001" customHeight="1" x14ac:dyDescent="0.25">
      <c r="A7" s="13" t="s">
        <v>78</v>
      </c>
      <c r="B7" s="3" t="s">
        <v>79</v>
      </c>
      <c r="C7" s="13" t="s">
        <v>80</v>
      </c>
      <c r="D7" s="13" t="s">
        <v>9</v>
      </c>
      <c r="E7" s="3" t="s">
        <v>81</v>
      </c>
      <c r="F7" s="2" t="s">
        <v>891</v>
      </c>
      <c r="G7" s="13" t="s">
        <v>82</v>
      </c>
      <c r="H7" s="13" t="s">
        <v>892</v>
      </c>
      <c r="I7" s="13" t="s">
        <v>9</v>
      </c>
      <c r="J7" s="14" t="str">
        <f t="shared" si="0"/>
        <v>F-BLM15GG471SN1D</v>
      </c>
      <c r="K7" s="14" t="str">
        <f t="shared" si="1"/>
        <v>F-BLM15GG471SN1D</v>
      </c>
    </row>
    <row r="8" spans="1:11" s="13" customFormat="1" ht="20.100000000000001" customHeight="1" x14ac:dyDescent="0.25">
      <c r="A8" s="13" t="s">
        <v>190</v>
      </c>
      <c r="B8" s="3" t="s">
        <v>191</v>
      </c>
      <c r="C8" s="13" t="s">
        <v>80</v>
      </c>
      <c r="D8" s="13" t="s">
        <v>11</v>
      </c>
      <c r="E8" s="2" t="s">
        <v>81</v>
      </c>
      <c r="F8" s="2" t="s">
        <v>891</v>
      </c>
      <c r="G8" s="13" t="s">
        <v>82</v>
      </c>
      <c r="H8" s="13" t="s">
        <v>892</v>
      </c>
      <c r="I8" s="13" t="s">
        <v>11</v>
      </c>
      <c r="J8" s="14" t="str">
        <f t="shared" si="0"/>
        <v>F-BLM18PG471SN1D</v>
      </c>
      <c r="K8" s="14" t="str">
        <f t="shared" si="1"/>
        <v>F-BLM18PG471SN1D</v>
      </c>
    </row>
    <row r="9" spans="1:11" x14ac:dyDescent="0.25">
      <c r="A9" s="2" t="s">
        <v>940</v>
      </c>
      <c r="B9" s="2" t="s">
        <v>941</v>
      </c>
      <c r="C9" s="13" t="s">
        <v>80</v>
      </c>
      <c r="D9" s="13" t="s">
        <v>9</v>
      </c>
      <c r="E9" s="2" t="s">
        <v>942</v>
      </c>
      <c r="F9" s="2" t="s">
        <v>891</v>
      </c>
      <c r="G9" s="13" t="s">
        <v>82</v>
      </c>
      <c r="H9" s="13" t="s">
        <v>892</v>
      </c>
      <c r="I9" s="13" t="s">
        <v>9</v>
      </c>
      <c r="J9" s="14" t="str">
        <f t="shared" si="0"/>
        <v>F-BLM15PD121SN1D</v>
      </c>
      <c r="K9" s="14" t="str">
        <f t="shared" si="1"/>
        <v>F-BLM15PD121SN1D</v>
      </c>
    </row>
    <row r="10" spans="1:11" x14ac:dyDescent="0.25">
      <c r="A10" s="2">
        <v>74439324015</v>
      </c>
      <c r="B10" s="2" t="s">
        <v>1032</v>
      </c>
      <c r="C10" s="13" t="s">
        <v>148</v>
      </c>
      <c r="D10" s="2">
        <v>4030</v>
      </c>
      <c r="E10" s="13" t="s">
        <v>533</v>
      </c>
      <c r="F10" s="2" t="s">
        <v>891</v>
      </c>
      <c r="G10" s="13" t="s">
        <v>13</v>
      </c>
      <c r="H10" s="13" t="s">
        <v>892</v>
      </c>
      <c r="I10" s="2">
        <v>4030</v>
      </c>
      <c r="J10" s="14" t="str">
        <f t="shared" si="0"/>
        <v>L-74439324015</v>
      </c>
      <c r="K10" s="14" t="str">
        <f t="shared" si="1"/>
        <v>L-74439324015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324B-0889-4FF3-8683-919F715AEA55}">
  <dimension ref="A1:I5"/>
  <sheetViews>
    <sheetView workbookViewId="0">
      <selection activeCell="B16" sqref="B16"/>
    </sheetView>
  </sheetViews>
  <sheetFormatPr defaultRowHeight="15.75" x14ac:dyDescent="0.25"/>
  <cols>
    <col min="1" max="1" width="21.75" customWidth="1"/>
    <col min="2" max="2" width="86.375" bestFit="1" customWidth="1"/>
    <col min="3" max="3" width="21.875" customWidth="1"/>
    <col min="4" max="4" width="36.25" customWidth="1"/>
    <col min="5" max="5" width="11.25" bestFit="1" customWidth="1"/>
    <col min="6" max="6" width="26" bestFit="1" customWidth="1"/>
    <col min="7" max="7" width="11.375" bestFit="1" customWidth="1"/>
    <col min="8" max="8" width="18.125" bestFit="1" customWidth="1"/>
    <col min="9" max="9" width="17.75" bestFit="1" customWidth="1"/>
  </cols>
  <sheetData>
    <row r="1" spans="1:9" s="13" customFormat="1" x14ac:dyDescent="0.25">
      <c r="A1" s="11" t="s">
        <v>0</v>
      </c>
      <c r="B1" s="11" t="s">
        <v>1</v>
      </c>
      <c r="C1" s="11" t="s">
        <v>2</v>
      </c>
      <c r="D1" s="11" t="s">
        <v>5</v>
      </c>
      <c r="E1" s="11" t="s">
        <v>6</v>
      </c>
      <c r="F1" s="11" t="s">
        <v>7</v>
      </c>
      <c r="G1" s="11" t="s">
        <v>8</v>
      </c>
      <c r="H1" s="21" t="s">
        <v>29</v>
      </c>
      <c r="I1" s="21" t="s">
        <v>36</v>
      </c>
    </row>
    <row r="2" spans="1:9" x14ac:dyDescent="0.25">
      <c r="A2" s="8" t="s">
        <v>512</v>
      </c>
      <c r="B2" s="8" t="s">
        <v>513</v>
      </c>
      <c r="C2" s="11" t="s">
        <v>80</v>
      </c>
      <c r="D2" s="8" t="s">
        <v>907</v>
      </c>
      <c r="E2" s="11" t="s">
        <v>514</v>
      </c>
      <c r="F2" s="11"/>
      <c r="G2" s="11"/>
      <c r="H2" s="12" t="str">
        <f>_xlfn.CONCAT("Z-",A2)</f>
        <v>Z-BNX025H01L</v>
      </c>
      <c r="I2" s="12" t="str">
        <f>H2</f>
        <v>Z-BNX025H01L</v>
      </c>
    </row>
    <row r="3" spans="1:9" x14ac:dyDescent="0.25">
      <c r="A3" s="8" t="s">
        <v>516</v>
      </c>
      <c r="B3" s="8" t="s">
        <v>517</v>
      </c>
      <c r="C3" s="11" t="s">
        <v>80</v>
      </c>
      <c r="D3" s="8" t="s">
        <v>907</v>
      </c>
      <c r="E3" s="8" t="s">
        <v>515</v>
      </c>
      <c r="F3" s="8"/>
      <c r="G3" s="8"/>
      <c r="H3" s="12" t="str">
        <f>_xlfn.CONCAT("Z-",A3)</f>
        <v>Z-NFM41PC155B1E3</v>
      </c>
      <c r="I3" s="12" t="str">
        <f>H3</f>
        <v>Z-NFM41PC155B1E3</v>
      </c>
    </row>
    <row r="4" spans="1:9" s="13" customFormat="1" ht="20.100000000000001" customHeight="1" x14ac:dyDescent="0.25">
      <c r="A4" s="11" t="s">
        <v>78</v>
      </c>
      <c r="B4" s="24" t="s">
        <v>79</v>
      </c>
      <c r="C4" s="11" t="s">
        <v>80</v>
      </c>
      <c r="D4" s="8" t="s">
        <v>891</v>
      </c>
      <c r="E4" s="11" t="s">
        <v>82</v>
      </c>
      <c r="F4" s="11" t="s">
        <v>892</v>
      </c>
      <c r="G4" s="11" t="s">
        <v>9</v>
      </c>
      <c r="H4" s="12" t="s">
        <v>914</v>
      </c>
      <c r="I4" s="12" t="s">
        <v>914</v>
      </c>
    </row>
    <row r="5" spans="1:9" s="13" customFormat="1" ht="20.100000000000001" customHeight="1" x14ac:dyDescent="0.25">
      <c r="A5" s="11" t="s">
        <v>190</v>
      </c>
      <c r="B5" s="24" t="s">
        <v>191</v>
      </c>
      <c r="C5" s="11" t="s">
        <v>80</v>
      </c>
      <c r="D5" s="8" t="s">
        <v>891</v>
      </c>
      <c r="E5" s="11" t="s">
        <v>82</v>
      </c>
      <c r="F5" s="11" t="s">
        <v>892</v>
      </c>
      <c r="G5" s="11" t="s">
        <v>11</v>
      </c>
      <c r="H5" s="12" t="s">
        <v>915</v>
      </c>
      <c r="I5" s="12" t="s">
        <v>915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4FB9-2DCB-4869-B7AF-00FC94C1C3DC}">
  <dimension ref="A1:N58"/>
  <sheetViews>
    <sheetView tabSelected="1" topLeftCell="A10" zoomScale="70" zoomScaleNormal="70" workbookViewId="0">
      <selection activeCell="I61" sqref="I61"/>
    </sheetView>
  </sheetViews>
  <sheetFormatPr defaultColWidth="11" defaultRowHeight="15.75" x14ac:dyDescent="0.25"/>
  <cols>
    <col min="1" max="1" width="24" style="13" customWidth="1"/>
    <col min="2" max="2" width="68.625" style="13" customWidth="1"/>
    <col min="3" max="3" width="20.375" style="13" customWidth="1"/>
    <col min="4" max="4" width="12.625" style="13" bestFit="1" customWidth="1"/>
    <col min="5" max="5" width="40.75" style="13" customWidth="1"/>
    <col min="6" max="6" width="71.25" style="13" customWidth="1"/>
    <col min="7" max="7" width="18.375" style="13" bestFit="1" customWidth="1"/>
    <col min="8" max="9" width="21.75" style="2" bestFit="1" customWidth="1"/>
    <col min="10" max="10" width="20.125" style="2" customWidth="1"/>
    <col min="11" max="12" width="11" style="2"/>
    <col min="13" max="13" width="8.75" style="2" customWidth="1"/>
    <col min="14" max="16384" width="11" style="2"/>
  </cols>
  <sheetData>
    <row r="1" spans="1:14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19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6" t="s">
        <v>36</v>
      </c>
      <c r="L1" s="26"/>
    </row>
    <row r="2" spans="1:14" x14ac:dyDescent="0.25">
      <c r="A2" s="13" t="s">
        <v>34</v>
      </c>
      <c r="B2" s="13" t="s">
        <v>41</v>
      </c>
      <c r="C2" s="2" t="s">
        <v>35</v>
      </c>
      <c r="D2" s="2" t="s">
        <v>203</v>
      </c>
      <c r="E2" s="2" t="s">
        <v>997</v>
      </c>
      <c r="F2" s="13" t="s">
        <v>998</v>
      </c>
      <c r="G2" s="2" t="s">
        <v>34</v>
      </c>
      <c r="H2" s="13" t="s">
        <v>888</v>
      </c>
      <c r="I2" s="13" t="s">
        <v>202</v>
      </c>
      <c r="J2" s="13" t="str">
        <f>A2</f>
        <v>CWDT8005</v>
      </c>
      <c r="K2" s="2" t="str">
        <f>J2</f>
        <v>CWDT8005</v>
      </c>
    </row>
    <row r="3" spans="1:14" x14ac:dyDescent="0.25">
      <c r="A3" s="13" t="s">
        <v>38</v>
      </c>
      <c r="B3" s="13" t="s">
        <v>42</v>
      </c>
      <c r="C3" s="13" t="s">
        <v>35</v>
      </c>
      <c r="D3" s="13" t="s">
        <v>39</v>
      </c>
      <c r="E3" s="2" t="s">
        <v>999</v>
      </c>
      <c r="F3" s="13" t="s">
        <v>45</v>
      </c>
      <c r="G3" s="13" t="s">
        <v>38</v>
      </c>
      <c r="H3" s="13" t="s">
        <v>888</v>
      </c>
      <c r="I3" s="13" t="s">
        <v>199</v>
      </c>
      <c r="J3" s="13" t="str">
        <f>A3</f>
        <v>CWS23902</v>
      </c>
      <c r="K3" s="2" t="str">
        <f t="shared" ref="K3:K12" si="0">J3</f>
        <v>CWS23902</v>
      </c>
      <c r="N3" s="34"/>
    </row>
    <row r="4" spans="1:14" x14ac:dyDescent="0.25">
      <c r="A4" s="13" t="s">
        <v>40</v>
      </c>
      <c r="B4" s="2" t="s">
        <v>43</v>
      </c>
      <c r="C4" s="13" t="s">
        <v>44</v>
      </c>
      <c r="D4" s="13" t="s">
        <v>212</v>
      </c>
      <c r="E4" s="2" t="s">
        <v>997</v>
      </c>
      <c r="F4" s="13" t="s">
        <v>998</v>
      </c>
      <c r="G4" s="13" t="s">
        <v>40</v>
      </c>
      <c r="H4" s="13" t="s">
        <v>888</v>
      </c>
      <c r="I4" s="13" t="s">
        <v>213</v>
      </c>
      <c r="J4" s="13" t="str">
        <f>A4</f>
        <v>IPA-0206B-CQ5B</v>
      </c>
      <c r="K4" s="2" t="str">
        <f t="shared" si="0"/>
        <v>IPA-0206B-CQ5B</v>
      </c>
      <c r="N4" s="35"/>
    </row>
    <row r="5" spans="1:14" x14ac:dyDescent="0.25">
      <c r="A5" s="2" t="s">
        <v>234</v>
      </c>
      <c r="B5" s="2" t="s">
        <v>235</v>
      </c>
      <c r="C5" s="13" t="s">
        <v>236</v>
      </c>
      <c r="D5" s="2" t="s">
        <v>237</v>
      </c>
      <c r="E5" s="2" t="s">
        <v>1000</v>
      </c>
      <c r="F5" s="13" t="s">
        <v>1007</v>
      </c>
      <c r="G5" s="2" t="s">
        <v>234</v>
      </c>
      <c r="H5" s="13" t="s">
        <v>888</v>
      </c>
      <c r="I5" s="2" t="s">
        <v>237</v>
      </c>
      <c r="J5" s="13" t="str">
        <f>A5</f>
        <v>TRHJ-2041</v>
      </c>
      <c r="K5" s="2" t="str">
        <f t="shared" si="0"/>
        <v>TRHJ-2041</v>
      </c>
      <c r="N5" s="34"/>
    </row>
    <row r="6" spans="1:14" x14ac:dyDescent="0.25">
      <c r="A6" s="13" t="s">
        <v>238</v>
      </c>
      <c r="B6" s="2" t="s">
        <v>239</v>
      </c>
      <c r="C6" s="13" t="s">
        <v>91</v>
      </c>
      <c r="D6" s="2" t="s">
        <v>240</v>
      </c>
      <c r="E6" s="2" t="s">
        <v>1001</v>
      </c>
      <c r="F6" s="13" t="s">
        <v>1008</v>
      </c>
      <c r="G6" s="13" t="s">
        <v>241</v>
      </c>
      <c r="H6" s="13" t="s">
        <v>888</v>
      </c>
      <c r="I6" s="2" t="s">
        <v>240</v>
      </c>
      <c r="J6" s="13" t="str">
        <f>A6</f>
        <v>ADF5356BCPZ</v>
      </c>
      <c r="K6" s="2" t="str">
        <f t="shared" si="0"/>
        <v>ADF5356BCPZ</v>
      </c>
      <c r="N6" s="35"/>
    </row>
    <row r="7" spans="1:14" x14ac:dyDescent="0.25">
      <c r="A7" s="13" t="s">
        <v>242</v>
      </c>
      <c r="B7" s="2" t="s">
        <v>243</v>
      </c>
      <c r="C7" s="13" t="s">
        <v>244</v>
      </c>
      <c r="D7" s="2" t="s">
        <v>245</v>
      </c>
      <c r="E7" s="2" t="s">
        <v>1002</v>
      </c>
      <c r="F7" s="13" t="s">
        <v>1009</v>
      </c>
      <c r="G7" s="13" t="s">
        <v>246</v>
      </c>
      <c r="H7" s="13" t="s">
        <v>888</v>
      </c>
      <c r="I7" s="13" t="s">
        <v>245</v>
      </c>
      <c r="J7" s="13" t="str">
        <f>A7</f>
        <v>LFCG-2000+</v>
      </c>
      <c r="K7" s="2" t="str">
        <f t="shared" si="0"/>
        <v>LFCG-2000+</v>
      </c>
      <c r="N7" s="34"/>
    </row>
    <row r="8" spans="1:14" x14ac:dyDescent="0.25">
      <c r="A8" s="13" t="s">
        <v>252</v>
      </c>
      <c r="B8" s="17"/>
      <c r="C8" s="13" t="s">
        <v>244</v>
      </c>
      <c r="D8" s="2" t="s">
        <v>254</v>
      </c>
      <c r="E8" s="2" t="s">
        <v>1002</v>
      </c>
      <c r="F8" s="13" t="s">
        <v>1009</v>
      </c>
      <c r="G8" s="13" t="s">
        <v>253</v>
      </c>
      <c r="H8" s="13" t="s">
        <v>888</v>
      </c>
      <c r="I8" s="2" t="s">
        <v>254</v>
      </c>
      <c r="J8" s="13" t="str">
        <f>A8</f>
        <v>LFCN-1500D+</v>
      </c>
      <c r="K8" s="2" t="str">
        <f t="shared" si="0"/>
        <v>LFCN-1500D+</v>
      </c>
      <c r="N8" s="35"/>
    </row>
    <row r="9" spans="1:14" x14ac:dyDescent="0.25">
      <c r="A9" s="2" t="s">
        <v>255</v>
      </c>
      <c r="B9" s="2" t="s">
        <v>256</v>
      </c>
      <c r="C9" s="13" t="s">
        <v>258</v>
      </c>
      <c r="E9" s="2" t="s">
        <v>997</v>
      </c>
      <c r="F9" s="13" t="s">
        <v>1010</v>
      </c>
      <c r="G9" s="13" t="s">
        <v>257</v>
      </c>
      <c r="H9" s="13" t="s">
        <v>888</v>
      </c>
      <c r="I9" s="13" t="s">
        <v>255</v>
      </c>
      <c r="J9" s="13" t="str">
        <f>A9</f>
        <v>CWNPA-2735-P40-M</v>
      </c>
      <c r="K9" s="2" t="str">
        <f t="shared" si="0"/>
        <v>CWNPA-2735-P40-M</v>
      </c>
      <c r="N9" s="34"/>
    </row>
    <row r="10" spans="1:14" x14ac:dyDescent="0.25">
      <c r="A10" s="2" t="s">
        <v>259</v>
      </c>
      <c r="B10" s="2" t="s">
        <v>260</v>
      </c>
      <c r="C10" s="13" t="s">
        <v>244</v>
      </c>
      <c r="D10" s="2" t="s">
        <v>261</v>
      </c>
      <c r="E10" s="2" t="s">
        <v>997</v>
      </c>
      <c r="F10" s="13" t="s">
        <v>1010</v>
      </c>
      <c r="G10" s="2" t="s">
        <v>259</v>
      </c>
      <c r="H10" s="13" t="s">
        <v>888</v>
      </c>
      <c r="I10" s="13" t="s">
        <v>262</v>
      </c>
      <c r="J10" s="13" t="str">
        <f>A10</f>
        <v>TSY-83LN+</v>
      </c>
      <c r="K10" s="2" t="str">
        <f t="shared" si="0"/>
        <v>TSY-83LN+</v>
      </c>
      <c r="N10" s="35"/>
    </row>
    <row r="11" spans="1:14" s="13" customFormat="1" x14ac:dyDescent="0.25">
      <c r="A11" s="2" t="s">
        <v>293</v>
      </c>
      <c r="B11" s="2" t="s">
        <v>294</v>
      </c>
      <c r="C11" s="13" t="s">
        <v>244</v>
      </c>
      <c r="D11" s="2" t="s">
        <v>295</v>
      </c>
      <c r="E11" s="2" t="s">
        <v>997</v>
      </c>
      <c r="F11" s="13" t="s">
        <v>1010</v>
      </c>
      <c r="G11" s="2" t="s">
        <v>293</v>
      </c>
      <c r="H11" s="13" t="s">
        <v>888</v>
      </c>
      <c r="I11" s="2" t="s">
        <v>296</v>
      </c>
      <c r="J11" s="13" t="str">
        <f>A11</f>
        <v>TSY-173LN+</v>
      </c>
      <c r="K11" s="2" t="str">
        <f t="shared" si="0"/>
        <v>TSY-173LN+</v>
      </c>
      <c r="N11" s="34"/>
    </row>
    <row r="12" spans="1:14" x14ac:dyDescent="0.25">
      <c r="A12" s="13" t="s">
        <v>297</v>
      </c>
      <c r="B12" s="2" t="s">
        <v>298</v>
      </c>
      <c r="C12" s="13" t="s">
        <v>244</v>
      </c>
      <c r="D12" s="2" t="s">
        <v>296</v>
      </c>
      <c r="E12" s="2" t="s">
        <v>1003</v>
      </c>
      <c r="F12" s="13" t="s">
        <v>1011</v>
      </c>
      <c r="G12" s="13" t="s">
        <v>299</v>
      </c>
      <c r="H12" s="13" t="s">
        <v>888</v>
      </c>
      <c r="I12" s="2" t="s">
        <v>296</v>
      </c>
      <c r="J12" s="13" t="str">
        <f>A12</f>
        <v>YAT-10A+</v>
      </c>
      <c r="K12" s="2" t="str">
        <f t="shared" si="0"/>
        <v>YAT-10A+</v>
      </c>
      <c r="N12" s="35"/>
    </row>
    <row r="13" spans="1:14" x14ac:dyDescent="0.25">
      <c r="A13" s="13" t="s">
        <v>300</v>
      </c>
      <c r="B13" s="2" t="s">
        <v>298</v>
      </c>
      <c r="C13" s="13" t="s">
        <v>244</v>
      </c>
      <c r="D13" s="2" t="s">
        <v>296</v>
      </c>
      <c r="E13" s="2" t="s">
        <v>1003</v>
      </c>
      <c r="F13" s="13" t="s">
        <v>1011</v>
      </c>
      <c r="G13" s="13" t="s">
        <v>299</v>
      </c>
      <c r="H13" s="13" t="s">
        <v>888</v>
      </c>
      <c r="I13" s="2" t="s">
        <v>296</v>
      </c>
      <c r="J13" s="13" t="str">
        <f>A13</f>
        <v>YAT-6A+</v>
      </c>
      <c r="K13" s="2" t="str">
        <f t="shared" ref="K13:K24" si="1">J13</f>
        <v>YAT-6A+</v>
      </c>
      <c r="N13" s="34"/>
    </row>
    <row r="14" spans="1:14" x14ac:dyDescent="0.25">
      <c r="A14" s="2" t="s">
        <v>314</v>
      </c>
      <c r="B14" s="2" t="s">
        <v>861</v>
      </c>
      <c r="C14" s="13" t="s">
        <v>100</v>
      </c>
      <c r="D14" s="2" t="s">
        <v>315</v>
      </c>
      <c r="E14" s="2" t="s">
        <v>1001</v>
      </c>
      <c r="F14" s="13" t="s">
        <v>1008</v>
      </c>
      <c r="G14" s="2" t="s">
        <v>314</v>
      </c>
      <c r="H14" s="13" t="s">
        <v>888</v>
      </c>
      <c r="I14" s="2" t="s">
        <v>340</v>
      </c>
      <c r="J14" s="13" t="str">
        <f>A14</f>
        <v>LMX2594RHA</v>
      </c>
      <c r="K14" s="2" t="str">
        <f t="shared" si="1"/>
        <v>LMX2594RHA</v>
      </c>
      <c r="N14" s="35"/>
    </row>
    <row r="15" spans="1:14" x14ac:dyDescent="0.25">
      <c r="A15" s="13" t="s">
        <v>379</v>
      </c>
      <c r="B15" s="2" t="s">
        <v>380</v>
      </c>
      <c r="C15" s="13" t="s">
        <v>244</v>
      </c>
      <c r="D15" s="2" t="s">
        <v>381</v>
      </c>
      <c r="E15" s="2" t="s">
        <v>1004</v>
      </c>
      <c r="F15" s="13" t="s">
        <v>1012</v>
      </c>
      <c r="G15" s="13" t="s">
        <v>379</v>
      </c>
      <c r="H15" s="13" t="s">
        <v>888</v>
      </c>
      <c r="I15" s="2" t="s">
        <v>381</v>
      </c>
      <c r="J15" s="13" t="str">
        <f>A15</f>
        <v>SMIQ-6243H+</v>
      </c>
      <c r="K15" s="2" t="str">
        <f t="shared" si="1"/>
        <v>SMIQ-6243H+</v>
      </c>
      <c r="N15" s="34"/>
    </row>
    <row r="16" spans="1:14" x14ac:dyDescent="0.25">
      <c r="A16" s="13" t="s">
        <v>382</v>
      </c>
      <c r="B16" s="2" t="s">
        <v>383</v>
      </c>
      <c r="C16" s="13" t="s">
        <v>244</v>
      </c>
      <c r="D16" s="2" t="s">
        <v>381</v>
      </c>
      <c r="E16" s="2" t="s">
        <v>1005</v>
      </c>
      <c r="F16" s="13" t="s">
        <v>1013</v>
      </c>
      <c r="G16" s="13" t="s">
        <v>382</v>
      </c>
      <c r="H16" s="13" t="s">
        <v>888</v>
      </c>
      <c r="I16" s="2" t="s">
        <v>381</v>
      </c>
      <c r="J16" s="13" t="str">
        <f>A16</f>
        <v>EP2C+</v>
      </c>
      <c r="K16" s="2" t="str">
        <f t="shared" si="1"/>
        <v>EP2C+</v>
      </c>
      <c r="N16" s="35"/>
    </row>
    <row r="17" spans="1:14" x14ac:dyDescent="0.25">
      <c r="A17" s="2" t="s">
        <v>385</v>
      </c>
      <c r="B17" s="2" t="s">
        <v>386</v>
      </c>
      <c r="C17" s="13" t="s">
        <v>244</v>
      </c>
      <c r="D17" s="2" t="s">
        <v>384</v>
      </c>
      <c r="E17" s="2" t="s">
        <v>1005</v>
      </c>
      <c r="F17" s="13" t="s">
        <v>1013</v>
      </c>
      <c r="G17" s="13" t="s">
        <v>385</v>
      </c>
      <c r="H17" s="13" t="s">
        <v>888</v>
      </c>
      <c r="I17" s="13" t="s">
        <v>384</v>
      </c>
      <c r="J17" s="13" t="str">
        <f>A17</f>
        <v>EP2RCW+</v>
      </c>
      <c r="K17" s="2" t="str">
        <f t="shared" si="1"/>
        <v>EP2RCW+</v>
      </c>
      <c r="N17" s="34"/>
    </row>
    <row r="18" spans="1:14" x14ac:dyDescent="0.25">
      <c r="A18" s="13" t="s">
        <v>387</v>
      </c>
      <c r="B18" s="2" t="s">
        <v>388</v>
      </c>
      <c r="C18" s="13" t="s">
        <v>244</v>
      </c>
      <c r="D18" s="2" t="s">
        <v>389</v>
      </c>
      <c r="E18" s="2" t="s">
        <v>1002</v>
      </c>
      <c r="F18" s="13" t="s">
        <v>1009</v>
      </c>
      <c r="G18" s="13" t="s">
        <v>253</v>
      </c>
      <c r="H18" s="13" t="s">
        <v>888</v>
      </c>
      <c r="I18" s="2" t="s">
        <v>389</v>
      </c>
      <c r="J18" s="13" t="str">
        <f>A18</f>
        <v xml:space="preserve">LFCW-8700+ </v>
      </c>
      <c r="K18" s="2" t="str">
        <f t="shared" si="1"/>
        <v xml:space="preserve">LFCW-8700+ </v>
      </c>
      <c r="N18" s="35"/>
    </row>
    <row r="19" spans="1:14" x14ac:dyDescent="0.25">
      <c r="A19" s="13" t="s">
        <v>390</v>
      </c>
      <c r="B19" s="2" t="s">
        <v>391</v>
      </c>
      <c r="C19" s="2" t="s">
        <v>392</v>
      </c>
      <c r="D19" s="28">
        <v>1008</v>
      </c>
      <c r="E19" s="2" t="s">
        <v>1002</v>
      </c>
      <c r="F19" s="13" t="s">
        <v>1009</v>
      </c>
      <c r="G19" s="13" t="s">
        <v>393</v>
      </c>
      <c r="H19" s="13" t="s">
        <v>888</v>
      </c>
      <c r="I19" s="13" t="s">
        <v>393</v>
      </c>
      <c r="J19" s="13" t="str">
        <f>A19</f>
        <v xml:space="preserve">3350BP39A0500001E </v>
      </c>
      <c r="K19" s="2" t="str">
        <f t="shared" si="1"/>
        <v xml:space="preserve">3350BP39A0500001E </v>
      </c>
      <c r="N19" s="34"/>
    </row>
    <row r="20" spans="1:14" x14ac:dyDescent="0.25">
      <c r="A20" s="2" t="s">
        <v>396</v>
      </c>
      <c r="B20" s="2" t="s">
        <v>394</v>
      </c>
      <c r="C20" s="13" t="s">
        <v>244</v>
      </c>
      <c r="D20" s="2" t="s">
        <v>395</v>
      </c>
      <c r="E20" s="2" t="s">
        <v>1005</v>
      </c>
      <c r="F20" s="13" t="s">
        <v>1013</v>
      </c>
      <c r="G20" s="13" t="s">
        <v>802</v>
      </c>
      <c r="H20" s="13" t="s">
        <v>888</v>
      </c>
      <c r="I20" s="13" t="s">
        <v>395</v>
      </c>
      <c r="J20" s="13" t="str">
        <f>A20</f>
        <v>QCN-45+</v>
      </c>
      <c r="K20" s="2" t="str">
        <f t="shared" si="1"/>
        <v>QCN-45+</v>
      </c>
      <c r="N20" s="35"/>
    </row>
    <row r="21" spans="1:14" x14ac:dyDescent="0.25">
      <c r="A21" s="13" t="s">
        <v>397</v>
      </c>
      <c r="B21" s="13" t="s">
        <v>398</v>
      </c>
      <c r="C21" s="13" t="s">
        <v>399</v>
      </c>
      <c r="D21" s="13" t="s">
        <v>400</v>
      </c>
      <c r="E21" s="2" t="s">
        <v>1017</v>
      </c>
      <c r="F21" s="13" t="s">
        <v>1018</v>
      </c>
      <c r="G21" s="13" t="s">
        <v>397</v>
      </c>
      <c r="H21" s="13" t="s">
        <v>888</v>
      </c>
      <c r="I21" s="13" t="s">
        <v>400</v>
      </c>
      <c r="J21" s="13" t="str">
        <f>A21</f>
        <v>SKY13575-639LF</v>
      </c>
      <c r="K21" s="2" t="str">
        <f t="shared" si="1"/>
        <v>SKY13575-639LF</v>
      </c>
      <c r="N21" s="34"/>
    </row>
    <row r="22" spans="1:14" x14ac:dyDescent="0.25">
      <c r="A22" s="13" t="s">
        <v>443</v>
      </c>
      <c r="B22" s="2" t="s">
        <v>444</v>
      </c>
      <c r="C22" s="13" t="s">
        <v>91</v>
      </c>
      <c r="D22" s="2" t="s">
        <v>445</v>
      </c>
      <c r="E22" s="2" t="s">
        <v>1006</v>
      </c>
      <c r="F22" s="13" t="s">
        <v>1014</v>
      </c>
      <c r="G22" s="13" t="s">
        <v>687</v>
      </c>
      <c r="H22" s="13" t="s">
        <v>888</v>
      </c>
      <c r="I22" s="13"/>
      <c r="J22" s="13" t="str">
        <f>A22</f>
        <v>ADRV9026BBCZ</v>
      </c>
      <c r="K22" s="2" t="str">
        <f t="shared" si="1"/>
        <v>ADRV9026BBCZ</v>
      </c>
      <c r="N22" s="35"/>
    </row>
    <row r="23" spans="1:14" x14ac:dyDescent="0.25">
      <c r="A23" s="2" t="s">
        <v>672</v>
      </c>
      <c r="B23" s="2" t="s">
        <v>673</v>
      </c>
      <c r="C23" s="13" t="s">
        <v>91</v>
      </c>
      <c r="D23" s="2" t="s">
        <v>431</v>
      </c>
      <c r="E23" s="2" t="s">
        <v>997</v>
      </c>
      <c r="F23" s="13" t="s">
        <v>1010</v>
      </c>
      <c r="G23" s="13" t="s">
        <v>672</v>
      </c>
      <c r="H23" s="13" t="s">
        <v>888</v>
      </c>
      <c r="I23" s="13"/>
      <c r="J23" s="13" t="str">
        <f>A23</f>
        <v>HMC451LP3</v>
      </c>
      <c r="K23" s="2" t="str">
        <f t="shared" si="1"/>
        <v>HMC451LP3</v>
      </c>
      <c r="N23" s="34"/>
    </row>
    <row r="24" spans="1:14" x14ac:dyDescent="0.25">
      <c r="A24" s="13" t="s">
        <v>674</v>
      </c>
      <c r="B24" s="13" t="s">
        <v>675</v>
      </c>
      <c r="C24" s="13" t="s">
        <v>244</v>
      </c>
      <c r="D24" s="2" t="s">
        <v>261</v>
      </c>
      <c r="E24" s="2" t="s">
        <v>997</v>
      </c>
      <c r="F24" s="13" t="s">
        <v>1010</v>
      </c>
      <c r="G24" s="13" t="s">
        <v>674</v>
      </c>
      <c r="H24" s="13" t="s">
        <v>888</v>
      </c>
      <c r="I24" s="13"/>
      <c r="J24" s="13" t="str">
        <f>A24</f>
        <v>AVA-183P+</v>
      </c>
      <c r="K24" s="2" t="str">
        <f t="shared" si="1"/>
        <v>AVA-183P+</v>
      </c>
      <c r="N24" s="35"/>
    </row>
    <row r="25" spans="1:14" x14ac:dyDescent="0.25">
      <c r="A25" s="13" t="s">
        <v>676</v>
      </c>
      <c r="B25" s="2" t="s">
        <v>298</v>
      </c>
      <c r="C25" s="13" t="s">
        <v>244</v>
      </c>
      <c r="D25" s="2" t="s">
        <v>296</v>
      </c>
      <c r="E25" s="2" t="s">
        <v>1003</v>
      </c>
      <c r="F25" s="13" t="s">
        <v>1011</v>
      </c>
      <c r="G25" s="13" t="s">
        <v>299</v>
      </c>
      <c r="H25" s="13" t="s">
        <v>888</v>
      </c>
      <c r="I25" s="2" t="s">
        <v>296</v>
      </c>
      <c r="J25" s="13" t="str">
        <f>A25</f>
        <v>YAT-0A+</v>
      </c>
      <c r="K25" s="2" t="str">
        <f t="shared" ref="K25:K29" si="2">J25</f>
        <v>YAT-0A+</v>
      </c>
      <c r="N25" s="34"/>
    </row>
    <row r="26" spans="1:14" x14ac:dyDescent="0.25">
      <c r="A26" s="13" t="s">
        <v>677</v>
      </c>
      <c r="B26" s="2" t="s">
        <v>394</v>
      </c>
      <c r="C26" s="13" t="s">
        <v>244</v>
      </c>
      <c r="D26" s="2" t="s">
        <v>678</v>
      </c>
      <c r="E26" s="2" t="s">
        <v>1005</v>
      </c>
      <c r="F26" s="13" t="s">
        <v>1013</v>
      </c>
      <c r="G26" s="13" t="s">
        <v>677</v>
      </c>
      <c r="H26" s="13" t="s">
        <v>888</v>
      </c>
      <c r="I26" s="13" t="s">
        <v>678</v>
      </c>
      <c r="J26" s="13" t="str">
        <f>A26</f>
        <v>EP2KA+</v>
      </c>
      <c r="K26" s="2" t="str">
        <f t="shared" si="2"/>
        <v>EP2KA+</v>
      </c>
      <c r="N26" s="35"/>
    </row>
    <row r="27" spans="1:14" x14ac:dyDescent="0.25">
      <c r="A27" s="13" t="s">
        <v>679</v>
      </c>
      <c r="B27" s="2" t="s">
        <v>298</v>
      </c>
      <c r="C27" s="13" t="s">
        <v>244</v>
      </c>
      <c r="D27" s="2" t="s">
        <v>296</v>
      </c>
      <c r="E27" s="2" t="s">
        <v>1003</v>
      </c>
      <c r="F27" s="13" t="s">
        <v>1011</v>
      </c>
      <c r="G27" s="13" t="s">
        <v>299</v>
      </c>
      <c r="H27" s="13" t="s">
        <v>888</v>
      </c>
      <c r="I27" s="2" t="s">
        <v>296</v>
      </c>
      <c r="J27" s="13" t="str">
        <f>A27</f>
        <v>YAT-3A+</v>
      </c>
      <c r="K27" s="2" t="str">
        <f t="shared" si="2"/>
        <v>YAT-3A+</v>
      </c>
      <c r="N27" s="34"/>
    </row>
    <row r="28" spans="1:14" x14ac:dyDescent="0.25">
      <c r="A28" s="13" t="s">
        <v>686</v>
      </c>
      <c r="B28" s="2" t="s">
        <v>444</v>
      </c>
      <c r="C28" s="13" t="s">
        <v>91</v>
      </c>
      <c r="D28" s="2" t="s">
        <v>445</v>
      </c>
      <c r="E28" s="2" t="s">
        <v>1006</v>
      </c>
      <c r="F28" s="13" t="s">
        <v>1014</v>
      </c>
      <c r="G28" s="13" t="s">
        <v>687</v>
      </c>
      <c r="H28" s="13" t="s">
        <v>888</v>
      </c>
      <c r="I28" s="13"/>
      <c r="J28" s="13" t="str">
        <f>A28</f>
        <v>ADRV9025BBCZ</v>
      </c>
      <c r="K28" s="2" t="str">
        <f t="shared" si="2"/>
        <v>ADRV9025BBCZ</v>
      </c>
      <c r="N28" s="35"/>
    </row>
    <row r="29" spans="1:14" x14ac:dyDescent="0.25">
      <c r="A29" s="2" t="s">
        <v>689</v>
      </c>
      <c r="B29" s="2" t="s">
        <v>688</v>
      </c>
      <c r="C29" s="13" t="s">
        <v>690</v>
      </c>
      <c r="D29" s="13" t="s">
        <v>227</v>
      </c>
      <c r="E29" s="2" t="s">
        <v>997</v>
      </c>
      <c r="F29" s="13" t="s">
        <v>1010</v>
      </c>
      <c r="G29" s="13" t="s">
        <v>689</v>
      </c>
      <c r="H29" s="13" t="s">
        <v>888</v>
      </c>
      <c r="I29" s="13"/>
      <c r="J29" s="13" t="str">
        <f>A29</f>
        <v>CWS13102</v>
      </c>
      <c r="K29" s="2" t="str">
        <f t="shared" si="2"/>
        <v>CWS13102</v>
      </c>
      <c r="N29" s="34"/>
    </row>
    <row r="30" spans="1:14" x14ac:dyDescent="0.25">
      <c r="A30" s="2" t="s">
        <v>691</v>
      </c>
      <c r="B30" s="2" t="s">
        <v>692</v>
      </c>
      <c r="C30" s="13" t="s">
        <v>690</v>
      </c>
      <c r="D30" s="13" t="s">
        <v>227</v>
      </c>
      <c r="E30" s="2" t="s">
        <v>997</v>
      </c>
      <c r="F30" s="13" t="s">
        <v>1010</v>
      </c>
      <c r="G30" s="13" t="s">
        <v>691</v>
      </c>
      <c r="H30" s="13" t="s">
        <v>888</v>
      </c>
      <c r="I30" s="13"/>
      <c r="J30" s="13" t="str">
        <f>A30</f>
        <v>CWS13101</v>
      </c>
      <c r="K30" s="2" t="str">
        <f t="shared" ref="K30:K34" si="3">J30</f>
        <v>CWS13101</v>
      </c>
      <c r="N30" s="35"/>
    </row>
    <row r="31" spans="1:14" x14ac:dyDescent="0.25">
      <c r="A31" s="13" t="s">
        <v>695</v>
      </c>
      <c r="B31" s="13" t="s">
        <v>696</v>
      </c>
      <c r="C31" s="13" t="s">
        <v>697</v>
      </c>
      <c r="D31" s="2" t="s">
        <v>510</v>
      </c>
      <c r="E31" s="2" t="s">
        <v>997</v>
      </c>
      <c r="F31" s="13" t="s">
        <v>1010</v>
      </c>
      <c r="G31" s="13" t="s">
        <v>695</v>
      </c>
      <c r="H31" s="13" t="s">
        <v>888</v>
      </c>
      <c r="I31" s="13" t="s">
        <v>870</v>
      </c>
      <c r="J31" s="13" t="str">
        <f>A31</f>
        <v>QPA1008</v>
      </c>
      <c r="K31" s="2" t="str">
        <f t="shared" si="3"/>
        <v>QPA1008</v>
      </c>
      <c r="N31" s="34"/>
    </row>
    <row r="32" spans="1:14" x14ac:dyDescent="0.25">
      <c r="A32" s="13" t="s">
        <v>698</v>
      </c>
      <c r="B32" s="13" t="s">
        <v>699</v>
      </c>
      <c r="C32" s="13" t="s">
        <v>697</v>
      </c>
      <c r="D32" s="13" t="s">
        <v>122</v>
      </c>
      <c r="E32" s="2" t="s">
        <v>997</v>
      </c>
      <c r="F32" s="13" t="s">
        <v>1010</v>
      </c>
      <c r="G32" s="13" t="s">
        <v>698</v>
      </c>
      <c r="H32" s="13" t="s">
        <v>888</v>
      </c>
      <c r="I32" s="13" t="s">
        <v>871</v>
      </c>
      <c r="J32" s="13" t="str">
        <f>A32</f>
        <v>TQL9092</v>
      </c>
      <c r="K32" s="2" t="str">
        <f t="shared" si="3"/>
        <v>TQL9092</v>
      </c>
      <c r="N32" s="35"/>
    </row>
    <row r="33" spans="1:14" x14ac:dyDescent="0.25">
      <c r="A33" s="13" t="s">
        <v>700</v>
      </c>
      <c r="B33" s="29" t="s">
        <v>701</v>
      </c>
      <c r="C33" s="13" t="s">
        <v>392</v>
      </c>
      <c r="D33" s="13" t="s">
        <v>702</v>
      </c>
      <c r="E33" s="2" t="s">
        <v>1005</v>
      </c>
      <c r="F33" s="13" t="s">
        <v>1013</v>
      </c>
      <c r="G33" s="13" t="s">
        <v>700</v>
      </c>
      <c r="H33" s="13" t="s">
        <v>888</v>
      </c>
      <c r="I33" s="13"/>
      <c r="J33" s="13" t="str">
        <f>A33</f>
        <v>4400BL15A0100E</v>
      </c>
      <c r="K33" s="2" t="str">
        <f t="shared" si="3"/>
        <v>4400BL15A0100E</v>
      </c>
      <c r="N33" s="34"/>
    </row>
    <row r="34" spans="1:14" x14ac:dyDescent="0.25">
      <c r="A34" s="13" t="s">
        <v>703</v>
      </c>
      <c r="B34" s="13" t="s">
        <v>704</v>
      </c>
      <c r="C34" s="13" t="s">
        <v>244</v>
      </c>
      <c r="D34" s="2" t="s">
        <v>705</v>
      </c>
      <c r="E34" s="2" t="s">
        <v>1005</v>
      </c>
      <c r="F34" s="13" t="s">
        <v>1013</v>
      </c>
      <c r="G34" s="13" t="s">
        <v>703</v>
      </c>
      <c r="H34" s="13" t="s">
        <v>888</v>
      </c>
      <c r="I34" s="13"/>
      <c r="J34" s="13" t="str">
        <f>A34</f>
        <v>D17W+</v>
      </c>
      <c r="K34" s="2" t="str">
        <f t="shared" si="3"/>
        <v>D17W+</v>
      </c>
      <c r="N34" s="35"/>
    </row>
    <row r="35" spans="1:14" x14ac:dyDescent="0.25">
      <c r="A35" s="13" t="s">
        <v>706</v>
      </c>
      <c r="B35" s="27" t="s">
        <v>707</v>
      </c>
      <c r="C35" s="13" t="s">
        <v>91</v>
      </c>
      <c r="D35" s="2" t="s">
        <v>708</v>
      </c>
      <c r="E35" s="2" t="s">
        <v>1017</v>
      </c>
      <c r="F35" s="13" t="s">
        <v>1018</v>
      </c>
      <c r="G35" s="13" t="s">
        <v>706</v>
      </c>
      <c r="H35" s="13" t="s">
        <v>888</v>
      </c>
      <c r="I35" s="13" t="s">
        <v>872</v>
      </c>
      <c r="J35" s="13" t="str">
        <f>A35</f>
        <v>HMC544A</v>
      </c>
      <c r="K35" s="2" t="str">
        <f>J35</f>
        <v>HMC544A</v>
      </c>
      <c r="N35" s="34"/>
    </row>
    <row r="36" spans="1:14" x14ac:dyDescent="0.25">
      <c r="A36" s="13" t="s">
        <v>773</v>
      </c>
      <c r="B36" s="13" t="s">
        <v>776</v>
      </c>
      <c r="C36" s="13" t="s">
        <v>91</v>
      </c>
      <c r="D36" s="2" t="s">
        <v>774</v>
      </c>
      <c r="E36" s="2" t="s">
        <v>1004</v>
      </c>
      <c r="F36" s="13" t="s">
        <v>1012</v>
      </c>
      <c r="G36" s="2" t="s">
        <v>775</v>
      </c>
      <c r="H36" s="13" t="s">
        <v>888</v>
      </c>
      <c r="I36" s="13" t="s">
        <v>878</v>
      </c>
      <c r="J36" s="13" t="str">
        <f>A36</f>
        <v>ADMV1014ACCZ</v>
      </c>
      <c r="K36" s="2" t="str">
        <f>J36</f>
        <v>ADMV1014ACCZ</v>
      </c>
      <c r="N36" s="35"/>
    </row>
    <row r="37" spans="1:14" x14ac:dyDescent="0.25">
      <c r="A37" s="13" t="s">
        <v>777</v>
      </c>
      <c r="B37" s="13" t="s">
        <v>778</v>
      </c>
      <c r="C37" s="13" t="s">
        <v>91</v>
      </c>
      <c r="D37" s="13" t="s">
        <v>779</v>
      </c>
      <c r="E37" s="2" t="s">
        <v>1004</v>
      </c>
      <c r="F37" s="13" t="s">
        <v>1012</v>
      </c>
      <c r="G37" s="2" t="s">
        <v>780</v>
      </c>
      <c r="H37" s="13" t="s">
        <v>888</v>
      </c>
      <c r="I37" s="2" t="s">
        <v>877</v>
      </c>
      <c r="J37" s="13" t="str">
        <f>A37</f>
        <v>ADMV1013ACCZ</v>
      </c>
      <c r="K37" s="2" t="str">
        <f>J37</f>
        <v>ADMV1013ACCZ</v>
      </c>
      <c r="N37" s="34"/>
    </row>
    <row r="38" spans="1:14" x14ac:dyDescent="0.25">
      <c r="A38" s="13" t="s">
        <v>796</v>
      </c>
      <c r="B38" s="2" t="s">
        <v>797</v>
      </c>
      <c r="C38" s="13" t="s">
        <v>91</v>
      </c>
      <c r="D38" s="13" t="s">
        <v>798</v>
      </c>
      <c r="E38" s="2" t="s">
        <v>1017</v>
      </c>
      <c r="F38" s="13" t="s">
        <v>1018</v>
      </c>
      <c r="G38" s="13" t="s">
        <v>799</v>
      </c>
      <c r="H38" s="13" t="s">
        <v>888</v>
      </c>
      <c r="I38" s="13" t="s">
        <v>876</v>
      </c>
      <c r="J38" s="13" t="str">
        <f>A38</f>
        <v>ADRF5024BCCZN</v>
      </c>
      <c r="K38" s="2" t="str">
        <f>J38</f>
        <v>ADRF5024BCCZN</v>
      </c>
      <c r="N38" s="35"/>
    </row>
    <row r="39" spans="1:14" x14ac:dyDescent="0.25">
      <c r="A39" s="2" t="s">
        <v>800</v>
      </c>
      <c r="B39" s="2" t="s">
        <v>394</v>
      </c>
      <c r="C39" s="13" t="s">
        <v>244</v>
      </c>
      <c r="D39" s="2" t="s">
        <v>801</v>
      </c>
      <c r="E39" s="2" t="s">
        <v>1005</v>
      </c>
      <c r="F39" s="13" t="s">
        <v>1013</v>
      </c>
      <c r="G39" s="13" t="s">
        <v>802</v>
      </c>
      <c r="H39" s="13" t="s">
        <v>888</v>
      </c>
      <c r="I39" s="13" t="s">
        <v>801</v>
      </c>
      <c r="J39" s="13" t="str">
        <f>A39</f>
        <v>QCS-83+</v>
      </c>
      <c r="K39" s="2" t="str">
        <f t="shared" ref="K39:K40" si="4">J39</f>
        <v>QCS-83+</v>
      </c>
      <c r="N39" s="34"/>
    </row>
    <row r="40" spans="1:14" x14ac:dyDescent="0.25">
      <c r="A40" s="13" t="s">
        <v>803</v>
      </c>
      <c r="B40" s="13" t="s">
        <v>804</v>
      </c>
      <c r="C40" s="13" t="s">
        <v>244</v>
      </c>
      <c r="D40" s="2" t="s">
        <v>384</v>
      </c>
      <c r="E40" s="2" t="s">
        <v>1005</v>
      </c>
      <c r="F40" s="13" t="s">
        <v>1013</v>
      </c>
      <c r="G40" s="13" t="s">
        <v>803</v>
      </c>
      <c r="H40" s="13" t="s">
        <v>888</v>
      </c>
      <c r="I40" s="13" t="s">
        <v>875</v>
      </c>
      <c r="J40" s="13" t="str">
        <f>A40</f>
        <v>EP4RKU+</v>
      </c>
      <c r="K40" s="2" t="str">
        <f t="shared" si="4"/>
        <v>EP4RKU+</v>
      </c>
      <c r="N40" s="35"/>
    </row>
    <row r="41" spans="1:14" x14ac:dyDescent="0.25">
      <c r="A41" s="2" t="s">
        <v>811</v>
      </c>
      <c r="B41" s="13" t="s">
        <v>813</v>
      </c>
      <c r="C41" s="13" t="s">
        <v>244</v>
      </c>
      <c r="D41" s="2" t="s">
        <v>812</v>
      </c>
      <c r="E41" s="2" t="s">
        <v>997</v>
      </c>
      <c r="F41" s="13" t="s">
        <v>1010</v>
      </c>
      <c r="G41" s="13" t="s">
        <v>811</v>
      </c>
      <c r="H41" s="13" t="s">
        <v>888</v>
      </c>
      <c r="I41" s="13" t="s">
        <v>874</v>
      </c>
      <c r="J41" s="13" t="str">
        <f>A41</f>
        <v>GVA-93+</v>
      </c>
      <c r="K41" s="2" t="str">
        <f>J41</f>
        <v>GVA-93+</v>
      </c>
      <c r="N41" s="34"/>
    </row>
    <row r="42" spans="1:14" x14ac:dyDescent="0.25">
      <c r="A42" s="13" t="s">
        <v>817</v>
      </c>
      <c r="B42" s="2" t="s">
        <v>818</v>
      </c>
      <c r="C42" s="13" t="s">
        <v>244</v>
      </c>
      <c r="D42" s="2" t="s">
        <v>261</v>
      </c>
      <c r="E42" s="2" t="s">
        <v>997</v>
      </c>
      <c r="F42" s="13" t="s">
        <v>1010</v>
      </c>
      <c r="G42" s="13" t="s">
        <v>817</v>
      </c>
      <c r="H42" s="13" t="s">
        <v>888</v>
      </c>
      <c r="I42" s="13" t="s">
        <v>261</v>
      </c>
      <c r="J42" s="13" t="str">
        <f>A42</f>
        <v>PMA3-83LN+</v>
      </c>
      <c r="K42" s="2" t="str">
        <f>J42</f>
        <v>PMA3-83LN+</v>
      </c>
      <c r="N42" s="35"/>
    </row>
    <row r="43" spans="1:14" x14ac:dyDescent="0.25">
      <c r="A43" s="13" t="s">
        <v>819</v>
      </c>
      <c r="B43" s="2" t="s">
        <v>820</v>
      </c>
      <c r="C43" s="13" t="s">
        <v>244</v>
      </c>
      <c r="D43" s="2" t="s">
        <v>389</v>
      </c>
      <c r="E43" s="2" t="s">
        <v>1002</v>
      </c>
      <c r="F43" s="13" t="s">
        <v>1009</v>
      </c>
      <c r="G43" s="13" t="s">
        <v>253</v>
      </c>
      <c r="H43" s="13" t="s">
        <v>888</v>
      </c>
      <c r="I43" s="13" t="s">
        <v>389</v>
      </c>
      <c r="J43" s="13" t="str">
        <f>A43</f>
        <v>BFCW-542+</v>
      </c>
      <c r="K43" s="2" t="str">
        <f>J43</f>
        <v>BFCW-542+</v>
      </c>
      <c r="N43" s="34"/>
    </row>
    <row r="44" spans="1:14" x14ac:dyDescent="0.25">
      <c r="A44" s="2" t="s">
        <v>823</v>
      </c>
      <c r="B44" s="2" t="s">
        <v>860</v>
      </c>
      <c r="C44" s="13" t="s">
        <v>236</v>
      </c>
      <c r="D44" s="2" t="s">
        <v>822</v>
      </c>
      <c r="E44" s="2" t="s">
        <v>1000</v>
      </c>
      <c r="F44" s="13" t="s">
        <v>1007</v>
      </c>
      <c r="G44" s="2" t="s">
        <v>823</v>
      </c>
      <c r="H44" s="13" t="s">
        <v>888</v>
      </c>
      <c r="I44" s="2" t="s">
        <v>823</v>
      </c>
      <c r="J44" s="13" t="str">
        <f>A44</f>
        <v>TRHJ-4061</v>
      </c>
      <c r="K44" s="2" t="str">
        <f t="shared" ref="K44:K50" si="5">J44</f>
        <v>TRHJ-4061</v>
      </c>
      <c r="N44" s="35"/>
    </row>
    <row r="45" spans="1:14" x14ac:dyDescent="0.25">
      <c r="A45" s="13" t="s">
        <v>225</v>
      </c>
      <c r="B45" s="13" t="s">
        <v>226</v>
      </c>
      <c r="C45" s="13" t="s">
        <v>91</v>
      </c>
      <c r="D45" s="13" t="s">
        <v>227</v>
      </c>
      <c r="E45" s="2" t="s">
        <v>1004</v>
      </c>
      <c r="F45" s="13" t="s">
        <v>1012</v>
      </c>
      <c r="G45" s="13" t="s">
        <v>225</v>
      </c>
      <c r="H45" s="13" t="s">
        <v>888</v>
      </c>
      <c r="I45" s="13" t="s">
        <v>228</v>
      </c>
      <c r="J45" s="13" t="str">
        <f>A45</f>
        <v>LTC5548</v>
      </c>
      <c r="K45" s="2" t="str">
        <f t="shared" si="5"/>
        <v>LTC5548</v>
      </c>
      <c r="N45" s="34"/>
    </row>
    <row r="46" spans="1:14" x14ac:dyDescent="0.25">
      <c r="A46" s="2" t="s">
        <v>937</v>
      </c>
      <c r="B46" s="13" t="s">
        <v>938</v>
      </c>
      <c r="C46" s="13" t="s">
        <v>244</v>
      </c>
      <c r="D46" s="33" t="s">
        <v>939</v>
      </c>
      <c r="E46" s="2" t="s">
        <v>997</v>
      </c>
      <c r="F46" s="13" t="s">
        <v>1010</v>
      </c>
      <c r="G46" s="13" t="s">
        <v>937</v>
      </c>
      <c r="H46" s="13" t="s">
        <v>888</v>
      </c>
      <c r="I46" s="2" t="s">
        <v>939</v>
      </c>
      <c r="J46" s="13" t="str">
        <f>A46</f>
        <v>LHA-1+</v>
      </c>
      <c r="K46" s="2" t="str">
        <f t="shared" si="5"/>
        <v>LHA-1+</v>
      </c>
      <c r="N46" s="35"/>
    </row>
    <row r="47" spans="1:14" x14ac:dyDescent="0.25">
      <c r="A47" s="2" t="s">
        <v>943</v>
      </c>
      <c r="B47" s="13" t="s">
        <v>944</v>
      </c>
      <c r="C47" s="13" t="s">
        <v>244</v>
      </c>
      <c r="D47" s="2" t="s">
        <v>254</v>
      </c>
      <c r="E47" s="2" t="s">
        <v>1002</v>
      </c>
      <c r="F47" s="13" t="s">
        <v>1009</v>
      </c>
      <c r="G47" s="13" t="s">
        <v>253</v>
      </c>
      <c r="H47" s="13" t="s">
        <v>888</v>
      </c>
      <c r="I47" s="2" t="s">
        <v>254</v>
      </c>
      <c r="J47" s="13" t="str">
        <f>A47</f>
        <v>LFCN-5500D+</v>
      </c>
      <c r="K47" s="2" t="str">
        <f t="shared" si="5"/>
        <v>LFCN-5500D+</v>
      </c>
      <c r="N47" s="34"/>
    </row>
    <row r="48" spans="1:14" x14ac:dyDescent="0.25">
      <c r="A48" s="2" t="s">
        <v>945</v>
      </c>
      <c r="B48" s="13" t="s">
        <v>946</v>
      </c>
      <c r="C48" s="13" t="s">
        <v>244</v>
      </c>
      <c r="D48" s="2" t="s">
        <v>947</v>
      </c>
      <c r="E48" s="2" t="s">
        <v>1002</v>
      </c>
      <c r="F48" s="13" t="s">
        <v>1009</v>
      </c>
      <c r="G48" s="13" t="s">
        <v>948</v>
      </c>
      <c r="H48" s="13" t="s">
        <v>888</v>
      </c>
      <c r="I48" s="8" t="s">
        <v>947</v>
      </c>
      <c r="J48" s="13" t="str">
        <f>A48</f>
        <v>HFCW-9500+</v>
      </c>
      <c r="K48" s="2" t="str">
        <f t="shared" si="5"/>
        <v>HFCW-9500+</v>
      </c>
      <c r="N48" s="35"/>
    </row>
    <row r="49" spans="1:14" x14ac:dyDescent="0.25">
      <c r="A49" s="13" t="s">
        <v>949</v>
      </c>
      <c r="B49" s="13" t="s">
        <v>675</v>
      </c>
      <c r="C49" s="13" t="s">
        <v>244</v>
      </c>
      <c r="D49" s="2" t="s">
        <v>950</v>
      </c>
      <c r="E49" s="2" t="s">
        <v>997</v>
      </c>
      <c r="F49" s="13" t="s">
        <v>1010</v>
      </c>
      <c r="G49" s="13" t="s">
        <v>949</v>
      </c>
      <c r="H49" s="13" t="s">
        <v>888</v>
      </c>
      <c r="I49" s="2" t="s">
        <v>950</v>
      </c>
      <c r="J49" s="13" t="str">
        <f>A49</f>
        <v>AVA-183A+</v>
      </c>
      <c r="K49" s="2" t="str">
        <f t="shared" si="5"/>
        <v>AVA-183A+</v>
      </c>
      <c r="N49" s="34"/>
    </row>
    <row r="50" spans="1:14" x14ac:dyDescent="0.25">
      <c r="A50" s="2" t="s">
        <v>964</v>
      </c>
      <c r="B50" s="13" t="s">
        <v>965</v>
      </c>
      <c r="C50" s="13" t="s">
        <v>244</v>
      </c>
      <c r="D50" s="2" t="s">
        <v>395</v>
      </c>
      <c r="E50" s="2" t="s">
        <v>1002</v>
      </c>
      <c r="F50" s="13" t="s">
        <v>1009</v>
      </c>
      <c r="G50" s="13" t="s">
        <v>948</v>
      </c>
      <c r="H50" s="13" t="s">
        <v>888</v>
      </c>
      <c r="I50" s="2" t="s">
        <v>395</v>
      </c>
      <c r="J50" s="13" t="str">
        <f>A50</f>
        <v>HFCN-7150+</v>
      </c>
      <c r="K50" s="2" t="str">
        <f t="shared" si="5"/>
        <v>HFCN-7150+</v>
      </c>
      <c r="N50" s="35"/>
    </row>
    <row r="51" spans="1:14" x14ac:dyDescent="0.25">
      <c r="A51" s="13" t="s">
        <v>969</v>
      </c>
      <c r="B51" s="13" t="s">
        <v>977</v>
      </c>
      <c r="C51" s="13" t="s">
        <v>91</v>
      </c>
      <c r="D51" s="13" t="s">
        <v>227</v>
      </c>
      <c r="E51" s="2" t="s">
        <v>1004</v>
      </c>
      <c r="F51" s="13" t="s">
        <v>1012</v>
      </c>
      <c r="G51" s="13" t="s">
        <v>969</v>
      </c>
      <c r="H51" s="13" t="s">
        <v>888</v>
      </c>
      <c r="I51" s="13" t="s">
        <v>228</v>
      </c>
      <c r="J51" s="13" t="str">
        <f>A51</f>
        <v>LTC5553</v>
      </c>
      <c r="K51" s="2" t="str">
        <f t="shared" ref="K51:K53" si="6">J51</f>
        <v>LTC5553</v>
      </c>
      <c r="N51" s="34"/>
    </row>
    <row r="52" spans="1:14" x14ac:dyDescent="0.25">
      <c r="A52" s="13" t="s">
        <v>975</v>
      </c>
      <c r="B52" s="13" t="s">
        <v>976</v>
      </c>
      <c r="C52" s="13" t="s">
        <v>244</v>
      </c>
      <c r="D52" s="2" t="s">
        <v>947</v>
      </c>
      <c r="E52" s="2" t="s">
        <v>1002</v>
      </c>
      <c r="F52" s="13" t="s">
        <v>1009</v>
      </c>
      <c r="G52" s="13" t="s">
        <v>948</v>
      </c>
      <c r="H52" s="13" t="s">
        <v>888</v>
      </c>
      <c r="I52" s="8" t="s">
        <v>947</v>
      </c>
      <c r="J52" s="13" t="str">
        <f>A52</f>
        <v>HFCW-1132+</v>
      </c>
      <c r="K52" s="2" t="str">
        <f t="shared" si="6"/>
        <v>HFCW-1132+</v>
      </c>
      <c r="N52" s="35"/>
    </row>
    <row r="53" spans="1:14" x14ac:dyDescent="0.25">
      <c r="A53" s="13" t="s">
        <v>991</v>
      </c>
      <c r="B53" s="2" t="s">
        <v>992</v>
      </c>
      <c r="C53" s="13" t="s">
        <v>244</v>
      </c>
      <c r="D53" s="2" t="s">
        <v>381</v>
      </c>
      <c r="E53" s="2" t="s">
        <v>1005</v>
      </c>
      <c r="F53" s="13" t="s">
        <v>1013</v>
      </c>
      <c r="G53" s="13" t="s">
        <v>991</v>
      </c>
      <c r="H53" s="13" t="s">
        <v>888</v>
      </c>
      <c r="I53" s="2" t="s">
        <v>381</v>
      </c>
      <c r="J53" s="13" t="str">
        <f>A53</f>
        <v>EP2K+</v>
      </c>
      <c r="K53" s="2" t="str">
        <f t="shared" si="6"/>
        <v>EP2K+</v>
      </c>
      <c r="N53" s="34"/>
    </row>
    <row r="54" spans="1:14" x14ac:dyDescent="0.25">
      <c r="A54" s="13" t="s">
        <v>995</v>
      </c>
      <c r="B54" s="13" t="s">
        <v>996</v>
      </c>
      <c r="C54" s="13" t="s">
        <v>91</v>
      </c>
      <c r="D54" t="s">
        <v>1015</v>
      </c>
      <c r="E54" s="13" t="s">
        <v>1017</v>
      </c>
      <c r="F54" s="13" t="s">
        <v>1018</v>
      </c>
      <c r="G54" s="13" t="s">
        <v>995</v>
      </c>
      <c r="H54" s="13" t="s">
        <v>888</v>
      </c>
      <c r="I54" s="2" t="s">
        <v>1016</v>
      </c>
      <c r="J54" s="13" t="str">
        <f t="shared" ref="J54:J58" si="7">A54</f>
        <v>ADRF5238</v>
      </c>
      <c r="K54" s="2" t="str">
        <f t="shared" ref="K54:K58" si="8">J54</f>
        <v>ADRF5238</v>
      </c>
    </row>
    <row r="55" spans="1:14" x14ac:dyDescent="0.25">
      <c r="A55" s="13" t="s">
        <v>1020</v>
      </c>
      <c r="B55" s="13" t="s">
        <v>1019</v>
      </c>
      <c r="C55" s="13" t="s">
        <v>244</v>
      </c>
      <c r="D55" s="13" t="s">
        <v>1021</v>
      </c>
      <c r="E55" s="2" t="s">
        <v>1002</v>
      </c>
      <c r="F55" s="13" t="s">
        <v>1009</v>
      </c>
      <c r="G55" s="13" t="s">
        <v>253</v>
      </c>
      <c r="H55" s="13" t="s">
        <v>888</v>
      </c>
      <c r="I55" s="2" t="s">
        <v>1021</v>
      </c>
      <c r="J55" s="13" t="str">
        <f t="shared" si="7"/>
        <v>BFCN-3700+</v>
      </c>
      <c r="K55" s="2" t="str">
        <f t="shared" si="8"/>
        <v>BFCN-3700+</v>
      </c>
    </row>
    <row r="56" spans="1:14" x14ac:dyDescent="0.25">
      <c r="A56" s="13" t="s">
        <v>1023</v>
      </c>
      <c r="B56" s="13" t="s">
        <v>1024</v>
      </c>
      <c r="C56" s="13" t="s">
        <v>244</v>
      </c>
      <c r="D56" s="13" t="s">
        <v>1025</v>
      </c>
      <c r="E56" s="2" t="s">
        <v>1002</v>
      </c>
      <c r="F56" s="13" t="s">
        <v>1009</v>
      </c>
      <c r="G56" s="13" t="s">
        <v>1022</v>
      </c>
      <c r="H56" s="13" t="s">
        <v>888</v>
      </c>
      <c r="I56" s="2" t="s">
        <v>1025</v>
      </c>
      <c r="J56" s="13" t="str">
        <f t="shared" si="7"/>
        <v>BFHKI-9901+</v>
      </c>
      <c r="K56" s="2" t="str">
        <f t="shared" si="8"/>
        <v>BFHKI-9901+</v>
      </c>
    </row>
    <row r="57" spans="1:14" x14ac:dyDescent="0.25">
      <c r="A57" s="13" t="s">
        <v>1026</v>
      </c>
      <c r="B57" s="13" t="s">
        <v>1029</v>
      </c>
      <c r="C57" s="13" t="s">
        <v>244</v>
      </c>
      <c r="D57" s="13" t="s">
        <v>1027</v>
      </c>
      <c r="E57" s="2" t="s">
        <v>997</v>
      </c>
      <c r="F57" s="13" t="s">
        <v>1010</v>
      </c>
      <c r="G57" s="13" t="s">
        <v>1026</v>
      </c>
      <c r="H57" s="13" t="s">
        <v>888</v>
      </c>
      <c r="I57" s="13" t="s">
        <v>1027</v>
      </c>
      <c r="J57" s="13" t="str">
        <f t="shared" si="7"/>
        <v>AVA-6183MPS+</v>
      </c>
      <c r="K57" s="2" t="str">
        <f t="shared" si="8"/>
        <v>AVA-6183MPS+</v>
      </c>
    </row>
    <row r="58" spans="1:14" x14ac:dyDescent="0.25">
      <c r="A58" s="13" t="s">
        <v>1028</v>
      </c>
      <c r="B58" s="13" t="s">
        <v>1030</v>
      </c>
      <c r="C58" s="13" t="s">
        <v>244</v>
      </c>
      <c r="D58" s="13" t="s">
        <v>1031</v>
      </c>
      <c r="E58" s="2" t="s">
        <v>997</v>
      </c>
      <c r="F58" s="13" t="s">
        <v>1010</v>
      </c>
      <c r="G58" s="13" t="s">
        <v>1028</v>
      </c>
      <c r="H58" s="13" t="s">
        <v>888</v>
      </c>
      <c r="I58" s="13" t="s">
        <v>1031</v>
      </c>
      <c r="J58" s="13" t="str">
        <f t="shared" si="7"/>
        <v>PMA2-183LN+</v>
      </c>
      <c r="K58" s="2" t="str">
        <f t="shared" si="8"/>
        <v>PMA2-183LN+</v>
      </c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AE7-C62A-40DA-B827-4F7BA2615940}">
  <dimension ref="A1:K31"/>
  <sheetViews>
    <sheetView zoomScale="70" zoomScaleNormal="70" workbookViewId="0">
      <selection activeCell="F27" sqref="F27"/>
    </sheetView>
  </sheetViews>
  <sheetFormatPr defaultColWidth="11.125" defaultRowHeight="15.75" x14ac:dyDescent="0.25"/>
  <cols>
    <col min="1" max="1" width="26.25" style="13" bestFit="1" customWidth="1"/>
    <col min="2" max="2" width="34.625" style="13" customWidth="1"/>
    <col min="3" max="3" width="25.5" style="13" bestFit="1" customWidth="1"/>
    <col min="4" max="4" width="35.625" style="13" bestFit="1" customWidth="1"/>
    <col min="5" max="5" width="8.5" style="13" bestFit="1" customWidth="1"/>
    <col min="6" max="6" width="35.375" style="13" customWidth="1"/>
    <col min="7" max="7" width="24" style="13" customWidth="1"/>
    <col min="8" max="8" width="41.375" style="13" customWidth="1"/>
    <col min="9" max="9" width="19.25" style="13" bestFit="1" customWidth="1"/>
    <col min="10" max="11" width="28" style="13" bestFit="1" customWidth="1"/>
    <col min="12" max="12" width="18.625" style="13" customWidth="1"/>
    <col min="13" max="13" width="24" style="13" customWidth="1"/>
    <col min="14" max="16384" width="11.125" style="13"/>
  </cols>
  <sheetData>
    <row r="1" spans="1:11" ht="20.100000000000001" customHeight="1" x14ac:dyDescent="0.25">
      <c r="A1" s="13" t="s">
        <v>0</v>
      </c>
      <c r="B1" s="13" t="s">
        <v>1</v>
      </c>
      <c r="C1" s="13" t="s">
        <v>2</v>
      </c>
      <c r="D1" s="13" t="s">
        <v>19</v>
      </c>
      <c r="E1" s="13" t="s">
        <v>50</v>
      </c>
      <c r="F1" s="13" t="s">
        <v>5</v>
      </c>
      <c r="G1" s="13" t="s">
        <v>6</v>
      </c>
      <c r="H1" s="13" t="s">
        <v>15</v>
      </c>
      <c r="I1" s="13" t="s">
        <v>16</v>
      </c>
      <c r="J1" s="13" t="s">
        <v>29</v>
      </c>
      <c r="K1" s="13" t="s">
        <v>30</v>
      </c>
    </row>
    <row r="2" spans="1:11" ht="20.100000000000001" customHeight="1" x14ac:dyDescent="0.25">
      <c r="A2" s="13" t="s">
        <v>47</v>
      </c>
      <c r="B2" s="13" t="s">
        <v>46</v>
      </c>
      <c r="C2" s="13" t="s">
        <v>48</v>
      </c>
      <c r="D2" s="13" t="s">
        <v>49</v>
      </c>
      <c r="E2" s="13" t="s">
        <v>51</v>
      </c>
      <c r="F2" s="13" t="s">
        <v>896</v>
      </c>
      <c r="G2" s="13" t="s">
        <v>52</v>
      </c>
      <c r="H2" s="13" t="s">
        <v>897</v>
      </c>
      <c r="I2" s="13" t="s">
        <v>47</v>
      </c>
      <c r="J2" s="2" t="str">
        <f t="shared" ref="J2:J14" si="0">_xlfn.CONCAT("X-",A2)</f>
        <v>X-142-0761-801</v>
      </c>
      <c r="K2" s="14" t="str">
        <f t="shared" ref="K2:K22" si="1">J2</f>
        <v>X-142-0761-801</v>
      </c>
    </row>
    <row r="3" spans="1:11" ht="20.100000000000001" customHeight="1" x14ac:dyDescent="0.25">
      <c r="A3" s="13" t="s">
        <v>72</v>
      </c>
      <c r="B3" s="2" t="s">
        <v>75</v>
      </c>
      <c r="C3" s="13" t="s">
        <v>73</v>
      </c>
      <c r="D3" s="13" t="s">
        <v>74</v>
      </c>
      <c r="F3" s="13" t="s">
        <v>896</v>
      </c>
      <c r="G3" s="13" t="s">
        <v>72</v>
      </c>
      <c r="H3" s="13" t="s">
        <v>897</v>
      </c>
      <c r="I3" s="13" t="s">
        <v>211</v>
      </c>
      <c r="J3" s="2" t="str">
        <f t="shared" si="0"/>
        <v>X-53398-0471</v>
      </c>
      <c r="K3" s="14" t="str">
        <f t="shared" si="1"/>
        <v>X-53398-0471</v>
      </c>
    </row>
    <row r="4" spans="1:11" ht="20.100000000000001" customHeight="1" x14ac:dyDescent="0.25">
      <c r="A4" s="13" t="s">
        <v>76</v>
      </c>
      <c r="B4" s="2" t="s">
        <v>77</v>
      </c>
      <c r="C4" s="13" t="s">
        <v>73</v>
      </c>
      <c r="D4" s="13" t="s">
        <v>74</v>
      </c>
      <c r="F4" s="13" t="s">
        <v>896</v>
      </c>
      <c r="G4" s="13" t="s">
        <v>76</v>
      </c>
      <c r="H4" s="13" t="s">
        <v>897</v>
      </c>
      <c r="I4" s="13" t="s">
        <v>210</v>
      </c>
      <c r="J4" s="2" t="str">
        <f t="shared" si="0"/>
        <v>X-87832-1420</v>
      </c>
      <c r="K4" s="14" t="str">
        <f t="shared" si="1"/>
        <v>X-87832-1420</v>
      </c>
    </row>
    <row r="5" spans="1:11" ht="20.100000000000001" customHeight="1" x14ac:dyDescent="0.25">
      <c r="A5" s="13" t="s">
        <v>207</v>
      </c>
      <c r="B5" s="13" t="s">
        <v>208</v>
      </c>
      <c r="C5" s="13" t="s">
        <v>73</v>
      </c>
      <c r="D5" s="13" t="s">
        <v>209</v>
      </c>
      <c r="E5" s="13" t="s">
        <v>494</v>
      </c>
      <c r="F5" s="13" t="s">
        <v>896</v>
      </c>
      <c r="G5" s="13" t="s">
        <v>52</v>
      </c>
      <c r="H5" s="13" t="s">
        <v>897</v>
      </c>
      <c r="I5" s="13" t="s">
        <v>214</v>
      </c>
      <c r="J5" s="2" t="str">
        <f t="shared" si="0"/>
        <v>X-85305-0232</v>
      </c>
      <c r="K5" s="14" t="str">
        <f t="shared" si="1"/>
        <v>X-85305-0232</v>
      </c>
    </row>
    <row r="6" spans="1:11" ht="20.100000000000001" customHeight="1" x14ac:dyDescent="0.25">
      <c r="A6" s="13" t="s">
        <v>247</v>
      </c>
      <c r="B6" s="13" t="s">
        <v>248</v>
      </c>
      <c r="C6" s="13" t="s">
        <v>249</v>
      </c>
      <c r="D6" s="13" t="s">
        <v>49</v>
      </c>
      <c r="E6" s="13" t="s">
        <v>51</v>
      </c>
      <c r="F6" s="13" t="s">
        <v>896</v>
      </c>
      <c r="G6" s="13" t="s">
        <v>52</v>
      </c>
      <c r="H6" s="13" t="s">
        <v>897</v>
      </c>
      <c r="I6" s="13" t="s">
        <v>247</v>
      </c>
      <c r="J6" s="2" t="str">
        <f t="shared" si="0"/>
        <v>X-SMA-KYHDC</v>
      </c>
      <c r="K6" s="14" t="str">
        <f t="shared" si="1"/>
        <v>X-SMA-KYHDC</v>
      </c>
    </row>
    <row r="7" spans="1:11" ht="20.100000000000001" customHeight="1" x14ac:dyDescent="0.25">
      <c r="A7" s="13" t="s">
        <v>288</v>
      </c>
      <c r="B7" s="13" t="s">
        <v>289</v>
      </c>
      <c r="C7" s="15" t="s">
        <v>895</v>
      </c>
      <c r="D7" s="13" t="s">
        <v>290</v>
      </c>
      <c r="F7" s="13" t="s">
        <v>896</v>
      </c>
      <c r="G7" s="13" t="s">
        <v>288</v>
      </c>
      <c r="H7" s="13" t="s">
        <v>897</v>
      </c>
      <c r="I7" s="13" t="s">
        <v>291</v>
      </c>
      <c r="J7" s="2" t="str">
        <f t="shared" si="0"/>
        <v>X-TB006-508-02BE</v>
      </c>
      <c r="K7" s="14" t="str">
        <f t="shared" si="1"/>
        <v>X-TB006-508-02BE</v>
      </c>
    </row>
    <row r="8" spans="1:11" ht="20.100000000000001" customHeight="1" x14ac:dyDescent="0.25">
      <c r="A8" s="13" t="s">
        <v>356</v>
      </c>
      <c r="B8" s="2" t="s">
        <v>357</v>
      </c>
      <c r="C8" s="13" t="s">
        <v>358</v>
      </c>
      <c r="D8" s="13" t="s">
        <v>74</v>
      </c>
      <c r="F8" s="13" t="s">
        <v>896</v>
      </c>
      <c r="G8" s="13" t="s">
        <v>356</v>
      </c>
      <c r="H8" s="13" t="s">
        <v>897</v>
      </c>
      <c r="I8" s="13" t="s">
        <v>359</v>
      </c>
      <c r="J8" s="2" t="str">
        <f t="shared" si="0"/>
        <v>X-S2B-ZR-SM4A-TF</v>
      </c>
      <c r="K8" s="14" t="str">
        <f t="shared" si="1"/>
        <v>X-S2B-ZR-SM4A-TF</v>
      </c>
    </row>
    <row r="9" spans="1:11" ht="20.100000000000001" customHeight="1" x14ac:dyDescent="0.25">
      <c r="A9" s="13" t="s">
        <v>449</v>
      </c>
      <c r="B9" s="13" t="s">
        <v>450</v>
      </c>
      <c r="C9" s="13" t="s">
        <v>451</v>
      </c>
      <c r="D9" s="13" t="s">
        <v>452</v>
      </c>
      <c r="F9" s="13" t="s">
        <v>896</v>
      </c>
      <c r="G9" s="13" t="s">
        <v>449</v>
      </c>
      <c r="H9" s="13" t="s">
        <v>897</v>
      </c>
      <c r="J9" s="2" t="str">
        <f t="shared" si="0"/>
        <v>X-SOLC-120-02-F-Q-A-K-TR</v>
      </c>
      <c r="K9" s="14" t="str">
        <f t="shared" si="1"/>
        <v>X-SOLC-120-02-F-Q-A-K-TR</v>
      </c>
    </row>
    <row r="10" spans="1:11" ht="20.100000000000001" customHeight="1" x14ac:dyDescent="0.25">
      <c r="A10" s="13" t="s">
        <v>489</v>
      </c>
      <c r="B10" s="13" t="s">
        <v>490</v>
      </c>
      <c r="C10" s="13" t="s">
        <v>491</v>
      </c>
      <c r="D10" s="13" t="s">
        <v>209</v>
      </c>
      <c r="E10" s="13" t="s">
        <v>492</v>
      </c>
      <c r="F10" s="13" t="s">
        <v>896</v>
      </c>
      <c r="G10" s="13" t="s">
        <v>52</v>
      </c>
      <c r="H10" s="13" t="s">
        <v>897</v>
      </c>
      <c r="I10" s="13" t="s">
        <v>489</v>
      </c>
      <c r="J10" s="13" t="str">
        <f t="shared" si="0"/>
        <v>X-SMP-MSLD-PCT-6</v>
      </c>
      <c r="K10" s="13" t="str">
        <f t="shared" si="1"/>
        <v>X-SMP-MSLD-PCT-6</v>
      </c>
    </row>
    <row r="11" spans="1:11" ht="20.100000000000001" customHeight="1" x14ac:dyDescent="0.25">
      <c r="A11" s="13" t="s">
        <v>495</v>
      </c>
      <c r="B11" s="13" t="s">
        <v>493</v>
      </c>
      <c r="C11" s="13" t="s">
        <v>491</v>
      </c>
      <c r="D11" s="13" t="s">
        <v>209</v>
      </c>
      <c r="E11" s="13" t="s">
        <v>494</v>
      </c>
      <c r="F11" s="13" t="s">
        <v>896</v>
      </c>
      <c r="G11" s="13" t="s">
        <v>52</v>
      </c>
      <c r="H11" s="13" t="s">
        <v>897</v>
      </c>
      <c r="I11" s="13" t="s">
        <v>495</v>
      </c>
      <c r="J11" s="13" t="str">
        <f t="shared" si="0"/>
        <v>X-SMP-MSSB-PCS</v>
      </c>
      <c r="K11" s="13" t="str">
        <f t="shared" si="1"/>
        <v>X-SMP-MSSB-PCS</v>
      </c>
    </row>
    <row r="12" spans="1:11" ht="20.100000000000001" customHeight="1" x14ac:dyDescent="0.25">
      <c r="A12" s="13" t="s">
        <v>500</v>
      </c>
      <c r="B12" s="2" t="s">
        <v>501</v>
      </c>
      <c r="C12" s="13" t="s">
        <v>73</v>
      </c>
      <c r="D12" s="2" t="s">
        <v>502</v>
      </c>
      <c r="F12" s="13" t="s">
        <v>896</v>
      </c>
      <c r="G12" s="13" t="s">
        <v>500</v>
      </c>
      <c r="H12" s="13" t="s">
        <v>897</v>
      </c>
      <c r="J12" s="13" t="str">
        <f t="shared" si="0"/>
        <v>X-47352-1001</v>
      </c>
      <c r="K12" s="13" t="str">
        <f t="shared" si="1"/>
        <v>X-47352-1001</v>
      </c>
    </row>
    <row r="13" spans="1:11" ht="20.100000000000001" customHeight="1" x14ac:dyDescent="0.25">
      <c r="A13" s="13" t="s">
        <v>518</v>
      </c>
      <c r="B13" s="13" t="s">
        <v>520</v>
      </c>
      <c r="C13" s="13" t="s">
        <v>519</v>
      </c>
      <c r="D13" s="13" t="s">
        <v>521</v>
      </c>
      <c r="F13" s="13" t="s">
        <v>896</v>
      </c>
      <c r="G13" s="13" t="s">
        <v>518</v>
      </c>
      <c r="H13" s="13" t="s">
        <v>897</v>
      </c>
      <c r="J13" s="13" t="str">
        <f t="shared" si="0"/>
        <v>X-PJ-002B</v>
      </c>
      <c r="K13" s="13" t="str">
        <f t="shared" si="1"/>
        <v>X-PJ-002B</v>
      </c>
    </row>
    <row r="14" spans="1:11" ht="20.100000000000001" customHeight="1" x14ac:dyDescent="0.25">
      <c r="A14" s="13" t="s">
        <v>569</v>
      </c>
      <c r="B14" s="13" t="s">
        <v>570</v>
      </c>
      <c r="C14" s="13" t="s">
        <v>571</v>
      </c>
      <c r="D14" s="13" t="s">
        <v>572</v>
      </c>
      <c r="F14" s="13" t="s">
        <v>896</v>
      </c>
      <c r="G14" s="13" t="s">
        <v>569</v>
      </c>
      <c r="H14" s="13" t="s">
        <v>897</v>
      </c>
      <c r="J14" s="13" t="str">
        <f t="shared" si="0"/>
        <v>X-ZX62R-B-5P</v>
      </c>
      <c r="K14" s="13" t="str">
        <f t="shared" si="1"/>
        <v>X-ZX62R-B-5P</v>
      </c>
    </row>
    <row r="15" spans="1:11" ht="20.100000000000001" customHeight="1" x14ac:dyDescent="0.25">
      <c r="A15" s="13" t="s">
        <v>589</v>
      </c>
      <c r="B15" s="2" t="s">
        <v>585</v>
      </c>
      <c r="C15" s="13" t="s">
        <v>584</v>
      </c>
      <c r="D15" s="13" t="s">
        <v>583</v>
      </c>
      <c r="F15" s="13" t="s">
        <v>896</v>
      </c>
      <c r="G15" s="16" t="s">
        <v>586</v>
      </c>
      <c r="H15" s="13" t="s">
        <v>897</v>
      </c>
      <c r="J15" s="13" t="s">
        <v>582</v>
      </c>
      <c r="K15" s="13" t="str">
        <f t="shared" si="1"/>
        <v>ADM6-60-01.5-L-4-2-A-TR</v>
      </c>
    </row>
    <row r="16" spans="1:11" ht="20.100000000000001" customHeight="1" x14ac:dyDescent="0.25">
      <c r="A16" s="13" t="s">
        <v>588</v>
      </c>
      <c r="B16" s="2" t="s">
        <v>585</v>
      </c>
      <c r="C16" s="13" t="s">
        <v>584</v>
      </c>
      <c r="D16" s="13" t="s">
        <v>583</v>
      </c>
      <c r="F16" s="13" t="s">
        <v>896</v>
      </c>
      <c r="G16" s="16" t="s">
        <v>587</v>
      </c>
      <c r="H16" s="13" t="s">
        <v>897</v>
      </c>
      <c r="J16" s="13" t="s">
        <v>582</v>
      </c>
      <c r="K16" s="13" t="str">
        <f t="shared" si="1"/>
        <v>ADM6-60-01.5-L-4-2-A-TR</v>
      </c>
    </row>
    <row r="17" spans="1:11" ht="20.100000000000001" customHeight="1" x14ac:dyDescent="0.25">
      <c r="A17" s="13" t="s">
        <v>635</v>
      </c>
      <c r="B17" s="13" t="s">
        <v>636</v>
      </c>
      <c r="C17" s="13" t="s">
        <v>423</v>
      </c>
      <c r="D17" s="13" t="s">
        <v>637</v>
      </c>
      <c r="F17" s="13" t="s">
        <v>896</v>
      </c>
      <c r="G17" s="13" t="s">
        <v>635</v>
      </c>
      <c r="H17" s="13" t="s">
        <v>897</v>
      </c>
      <c r="J17" s="13" t="str">
        <f t="shared" ref="J17:J22" si="2">_xlfn.CONCAT("X-",A17)</f>
        <v>X-J0G-0001NL</v>
      </c>
      <c r="K17" s="13" t="str">
        <f t="shared" si="1"/>
        <v>X-J0G-0001NL</v>
      </c>
    </row>
    <row r="18" spans="1:11" ht="20.100000000000001" customHeight="1" x14ac:dyDescent="0.25">
      <c r="A18" s="13" t="s">
        <v>653</v>
      </c>
      <c r="B18" s="13" t="s">
        <v>655</v>
      </c>
      <c r="C18" s="13" t="s">
        <v>654</v>
      </c>
      <c r="D18" s="13" t="s">
        <v>656</v>
      </c>
      <c r="F18" s="13" t="s">
        <v>896</v>
      </c>
      <c r="G18" s="13" t="s">
        <v>653</v>
      </c>
      <c r="H18" s="13" t="s">
        <v>897</v>
      </c>
      <c r="J18" s="13" t="str">
        <f t="shared" si="2"/>
        <v>X-20021321-00050T4LF</v>
      </c>
      <c r="K18" s="13" t="str">
        <f t="shared" si="1"/>
        <v>X-20021321-00050T4LF</v>
      </c>
    </row>
    <row r="19" spans="1:11" ht="20.100000000000001" customHeight="1" x14ac:dyDescent="0.25">
      <c r="A19" s="13" t="s">
        <v>659</v>
      </c>
      <c r="B19" s="13" t="s">
        <v>657</v>
      </c>
      <c r="C19" s="13" t="s">
        <v>658</v>
      </c>
      <c r="D19" s="13" t="s">
        <v>898</v>
      </c>
      <c r="F19" s="13" t="s">
        <v>896</v>
      </c>
      <c r="G19" s="13" t="s">
        <v>659</v>
      </c>
      <c r="H19" s="13" t="s">
        <v>897</v>
      </c>
      <c r="J19" s="13" t="str">
        <f t="shared" si="2"/>
        <v>X-2199119-2</v>
      </c>
      <c r="K19" s="13" t="str">
        <f t="shared" si="1"/>
        <v>X-2199119-2</v>
      </c>
    </row>
    <row r="20" spans="1:11" ht="20.100000000000001" customHeight="1" x14ac:dyDescent="0.25">
      <c r="A20" s="13" t="s">
        <v>664</v>
      </c>
      <c r="B20" s="13" t="s">
        <v>665</v>
      </c>
      <c r="C20" s="13" t="s">
        <v>666</v>
      </c>
      <c r="D20" s="13" t="s">
        <v>667</v>
      </c>
      <c r="F20" s="13" t="s">
        <v>896</v>
      </c>
      <c r="G20" s="13" t="s">
        <v>668</v>
      </c>
      <c r="H20" s="13" t="s">
        <v>897</v>
      </c>
      <c r="J20" s="13" t="str">
        <f t="shared" si="2"/>
        <v>X-15EDGRC-3.81-06P-14-00A(H)</v>
      </c>
      <c r="K20" s="13" t="str">
        <f t="shared" si="1"/>
        <v>X-15EDGRC-3.81-06P-14-00A(H)</v>
      </c>
    </row>
    <row r="21" spans="1:11" ht="20.100000000000001" customHeight="1" x14ac:dyDescent="0.25">
      <c r="A21" s="13" t="s">
        <v>714</v>
      </c>
      <c r="B21" s="13" t="s">
        <v>715</v>
      </c>
      <c r="C21" s="13" t="s">
        <v>148</v>
      </c>
      <c r="D21" s="13" t="s">
        <v>716</v>
      </c>
      <c r="F21" s="13" t="s">
        <v>896</v>
      </c>
      <c r="G21" s="13" t="s">
        <v>714</v>
      </c>
      <c r="H21" s="13" t="s">
        <v>897</v>
      </c>
      <c r="J21" s="13" t="str">
        <f t="shared" si="2"/>
        <v>X-61202021621</v>
      </c>
      <c r="K21" s="13" t="str">
        <f t="shared" si="1"/>
        <v>X-61202021621</v>
      </c>
    </row>
    <row r="22" spans="1:11" ht="20.100000000000001" customHeight="1" x14ac:dyDescent="0.25">
      <c r="A22" s="13" t="s">
        <v>717</v>
      </c>
      <c r="B22" s="13" t="s">
        <v>718</v>
      </c>
      <c r="C22" s="13" t="s">
        <v>491</v>
      </c>
      <c r="D22" s="13" t="s">
        <v>719</v>
      </c>
      <c r="F22" s="13" t="s">
        <v>896</v>
      </c>
      <c r="G22" s="13" t="s">
        <v>717</v>
      </c>
      <c r="H22" s="13" t="s">
        <v>897</v>
      </c>
      <c r="J22" s="13" t="str">
        <f t="shared" si="2"/>
        <v>X-G14A421211112HR</v>
      </c>
      <c r="K22" s="13" t="str">
        <f t="shared" si="1"/>
        <v>X-G14A421211112HR</v>
      </c>
    </row>
    <row r="27" spans="1:11" x14ac:dyDescent="0.25">
      <c r="B27" s="2"/>
    </row>
    <row r="31" spans="1:11" x14ac:dyDescent="0.25">
      <c r="A31" s="2"/>
      <c r="E31" s="2"/>
      <c r="I31" s="2"/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F9DF-9175-4AD7-AEEF-F82D74CFCD8E}">
  <dimension ref="A1:L5"/>
  <sheetViews>
    <sheetView workbookViewId="0">
      <selection activeCell="D24" sqref="D24"/>
    </sheetView>
  </sheetViews>
  <sheetFormatPr defaultRowHeight="15.75" x14ac:dyDescent="0.25"/>
  <cols>
    <col min="1" max="1" width="15.625" style="2" customWidth="1"/>
    <col min="2" max="2" width="32.625" style="2" customWidth="1"/>
    <col min="3" max="3" width="25.125" style="2" customWidth="1"/>
    <col min="4" max="4" width="18.75" style="2" customWidth="1"/>
    <col min="5" max="5" width="34.125" style="2" customWidth="1"/>
    <col min="6" max="6" width="20.375" style="2" customWidth="1"/>
    <col min="7" max="7" width="34.875" style="2" customWidth="1"/>
    <col min="8" max="8" width="16.5" style="2" customWidth="1"/>
    <col min="9" max="9" width="13.625" style="2" customWidth="1"/>
    <col min="10" max="10" width="15.125" style="2" customWidth="1"/>
    <col min="11" max="11" width="13" style="2" customWidth="1"/>
    <col min="12" max="12" width="11.875" style="2" customWidth="1"/>
    <col min="13" max="16384" width="9" style="2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19</v>
      </c>
      <c r="E1" s="13" t="s">
        <v>5</v>
      </c>
      <c r="F1" s="13" t="s">
        <v>6</v>
      </c>
      <c r="G1" s="13" t="s">
        <v>15</v>
      </c>
      <c r="H1" s="13" t="s">
        <v>16</v>
      </c>
      <c r="I1" s="13" t="s">
        <v>32</v>
      </c>
      <c r="J1" s="13" t="s">
        <v>14</v>
      </c>
      <c r="K1" s="13" t="s">
        <v>29</v>
      </c>
      <c r="L1" s="13" t="s">
        <v>30</v>
      </c>
    </row>
    <row r="2" spans="1:12" x14ac:dyDescent="0.25">
      <c r="A2" s="2" t="s">
        <v>281</v>
      </c>
      <c r="B2" s="2" t="s">
        <v>274</v>
      </c>
      <c r="C2" s="2" t="s">
        <v>275</v>
      </c>
      <c r="D2" s="2" t="s">
        <v>276</v>
      </c>
      <c r="E2" s="2" t="s">
        <v>900</v>
      </c>
      <c r="F2" s="2" t="s">
        <v>273</v>
      </c>
      <c r="G2" s="13" t="s">
        <v>899</v>
      </c>
      <c r="H2" s="2" t="s">
        <v>287</v>
      </c>
      <c r="K2" s="2" t="str">
        <f>_xlfn.CONCAT("Q-",F2)</f>
        <v>Q-Si4101DY</v>
      </c>
      <c r="L2" s="2" t="str">
        <f>K2</f>
        <v>Q-Si4101DY</v>
      </c>
    </row>
    <row r="3" spans="1:12" x14ac:dyDescent="0.25">
      <c r="A3" s="2" t="s">
        <v>277</v>
      </c>
      <c r="B3" s="2" t="s">
        <v>278</v>
      </c>
      <c r="C3" s="2" t="s">
        <v>279</v>
      </c>
      <c r="D3" s="2" t="s">
        <v>280</v>
      </c>
      <c r="E3" s="2" t="s">
        <v>900</v>
      </c>
      <c r="F3" s="2" t="s">
        <v>277</v>
      </c>
      <c r="G3" s="13" t="s">
        <v>899</v>
      </c>
      <c r="H3" s="2" t="s">
        <v>285</v>
      </c>
      <c r="K3" s="2" t="str">
        <f>_xlfn.CONCAT("Q-",F3)</f>
        <v>Q-BC817</v>
      </c>
      <c r="L3" s="2" t="str">
        <f>K3</f>
        <v>Q-BC817</v>
      </c>
    </row>
    <row r="4" spans="1:12" x14ac:dyDescent="0.25">
      <c r="A4" s="2" t="s">
        <v>372</v>
      </c>
      <c r="B4" s="2" t="s">
        <v>373</v>
      </c>
      <c r="C4" s="2" t="s">
        <v>374</v>
      </c>
      <c r="D4" s="2" t="s">
        <v>375</v>
      </c>
      <c r="E4" s="2" t="s">
        <v>900</v>
      </c>
      <c r="F4" s="2" t="s">
        <v>372</v>
      </c>
      <c r="G4" s="13" t="s">
        <v>899</v>
      </c>
      <c r="H4" s="2" t="s">
        <v>285</v>
      </c>
      <c r="K4" s="2" t="str">
        <f>_xlfn.CONCAT("Q-",F4)</f>
        <v>Q-IRLML2060TRPBF</v>
      </c>
      <c r="L4" s="2" t="str">
        <f>K4</f>
        <v>Q-IRLML2060TRPBF</v>
      </c>
    </row>
    <row r="5" spans="1:12" x14ac:dyDescent="0.25">
      <c r="A5" s="2" t="s">
        <v>428</v>
      </c>
      <c r="B5" s="2" t="s">
        <v>429</v>
      </c>
      <c r="C5" s="2" t="s">
        <v>275</v>
      </c>
      <c r="D5" s="2" t="s">
        <v>375</v>
      </c>
      <c r="E5" s="2" t="s">
        <v>900</v>
      </c>
      <c r="F5" s="2" t="s">
        <v>428</v>
      </c>
      <c r="G5" s="13" t="s">
        <v>899</v>
      </c>
      <c r="K5" s="2" t="str">
        <f>_xlfn.CONCAT("Q-",F5)</f>
        <v>Q-Si7232DN</v>
      </c>
      <c r="L5" s="2" t="str">
        <f>K5</f>
        <v>Q-Si7232DN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FC2B9-7194-4E04-B099-DD92CAEBC2F3}">
  <dimension ref="A1:J27"/>
  <sheetViews>
    <sheetView zoomScaleNormal="100" workbookViewId="0">
      <selection activeCell="F32" sqref="F32"/>
    </sheetView>
  </sheetViews>
  <sheetFormatPr defaultColWidth="11.125" defaultRowHeight="15.75" x14ac:dyDescent="0.25"/>
  <cols>
    <col min="1" max="1" width="21.25" style="13" bestFit="1" customWidth="1"/>
    <col min="2" max="2" width="34" style="13" customWidth="1"/>
    <col min="3" max="3" width="33.125" style="13" bestFit="1" customWidth="1"/>
    <col min="4" max="4" width="16.125" style="13" customWidth="1"/>
    <col min="5" max="5" width="26.5" style="13" bestFit="1" customWidth="1"/>
    <col min="6" max="6" width="24" style="13" customWidth="1"/>
    <col min="7" max="7" width="27.875" style="13" bestFit="1" customWidth="1"/>
    <col min="8" max="8" width="14.625" style="13" bestFit="1" customWidth="1"/>
    <col min="9" max="9" width="23.125" style="13" bestFit="1" customWidth="1"/>
    <col min="10" max="10" width="22.375" style="13" customWidth="1"/>
    <col min="11" max="16384" width="11.125" style="13"/>
  </cols>
  <sheetData>
    <row r="1" spans="1:10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5</v>
      </c>
      <c r="F1" s="13" t="s">
        <v>6</v>
      </c>
      <c r="G1" s="13" t="s">
        <v>7</v>
      </c>
      <c r="H1" s="13" t="s">
        <v>8</v>
      </c>
      <c r="I1" s="30" t="s">
        <v>29</v>
      </c>
      <c r="J1" s="13" t="s">
        <v>36</v>
      </c>
    </row>
    <row r="2" spans="1:10" ht="31.5" x14ac:dyDescent="0.25">
      <c r="A2" s="13" t="s">
        <v>174</v>
      </c>
      <c r="B2" s="3" t="s">
        <v>175</v>
      </c>
      <c r="C2" s="2" t="s">
        <v>176</v>
      </c>
      <c r="D2" s="2" t="s">
        <v>177</v>
      </c>
      <c r="E2" s="13" t="s">
        <v>904</v>
      </c>
      <c r="F2" s="13" t="s">
        <v>178</v>
      </c>
      <c r="G2" s="13" t="s">
        <v>902</v>
      </c>
      <c r="H2" s="2" t="s">
        <v>177</v>
      </c>
      <c r="I2" s="14" t="str">
        <f>_xlfn.CONCAT("D-",A2)</f>
        <v>D-SS24FL</v>
      </c>
      <c r="J2" s="14" t="str">
        <f>I2</f>
        <v>D-SS24FL</v>
      </c>
    </row>
    <row r="3" spans="1:10" ht="31.5" x14ac:dyDescent="0.25">
      <c r="A3" s="2" t="s">
        <v>179</v>
      </c>
      <c r="B3" s="3" t="s">
        <v>180</v>
      </c>
      <c r="C3" s="13" t="s">
        <v>176</v>
      </c>
      <c r="D3" s="2" t="s">
        <v>181</v>
      </c>
      <c r="E3" s="13" t="s">
        <v>904</v>
      </c>
      <c r="F3" s="13" t="s">
        <v>178</v>
      </c>
      <c r="G3" s="13" t="s">
        <v>902</v>
      </c>
      <c r="H3" s="2" t="s">
        <v>181</v>
      </c>
      <c r="I3" s="14" t="str">
        <f>_xlfn.CONCAT("D-",A3)</f>
        <v>D-MBRA160T3G</v>
      </c>
      <c r="J3" s="14" t="str">
        <f>I3</f>
        <v>D-MBRA160T3G</v>
      </c>
    </row>
    <row r="4" spans="1:10" ht="31.5" x14ac:dyDescent="0.25">
      <c r="A4" s="13" t="s">
        <v>216</v>
      </c>
      <c r="B4" s="3" t="s">
        <v>215</v>
      </c>
      <c r="E4" s="13" t="s">
        <v>905</v>
      </c>
      <c r="F4" s="13" t="s">
        <v>216</v>
      </c>
      <c r="G4" s="13" t="s">
        <v>903</v>
      </c>
      <c r="H4" s="13" t="s">
        <v>216</v>
      </c>
    </row>
    <row r="5" spans="1:10" x14ac:dyDescent="0.25">
      <c r="A5" s="13" t="s">
        <v>250</v>
      </c>
      <c r="B5" s="13" t="s">
        <v>251</v>
      </c>
      <c r="E5" s="13" t="s">
        <v>905</v>
      </c>
      <c r="F5" s="13" t="s">
        <v>216</v>
      </c>
      <c r="G5" s="13" t="s">
        <v>903</v>
      </c>
      <c r="H5" s="13" t="s">
        <v>250</v>
      </c>
    </row>
    <row r="6" spans="1:10" x14ac:dyDescent="0.25">
      <c r="A6" s="13" t="s">
        <v>282</v>
      </c>
      <c r="B6" s="2" t="s">
        <v>283</v>
      </c>
      <c r="C6" s="13" t="s">
        <v>284</v>
      </c>
      <c r="D6" s="13" t="s">
        <v>285</v>
      </c>
      <c r="E6" s="13" t="s">
        <v>904</v>
      </c>
      <c r="F6" s="13" t="s">
        <v>286</v>
      </c>
      <c r="G6" s="13" t="s">
        <v>902</v>
      </c>
      <c r="H6" s="13" t="s">
        <v>285</v>
      </c>
      <c r="I6" s="14" t="str">
        <f t="shared" ref="I6:I17" si="0">_xlfn.CONCAT("D-",A6)</f>
        <v>D-BZX84C13</v>
      </c>
      <c r="J6" s="14" t="str">
        <f t="shared" ref="J6:J17" si="1">I6</f>
        <v>D-BZX84C13</v>
      </c>
    </row>
    <row r="7" spans="1:10" x14ac:dyDescent="0.25">
      <c r="A7" s="13" t="s">
        <v>325</v>
      </c>
      <c r="B7" s="2" t="s">
        <v>326</v>
      </c>
      <c r="C7" s="13" t="s">
        <v>327</v>
      </c>
      <c r="D7" s="2">
        <v>7050</v>
      </c>
      <c r="E7" s="13" t="s">
        <v>905</v>
      </c>
      <c r="F7" s="13" t="s">
        <v>330</v>
      </c>
      <c r="G7" s="13" t="s">
        <v>903</v>
      </c>
      <c r="H7" s="13" t="s">
        <v>328</v>
      </c>
      <c r="I7" s="14" t="str">
        <f t="shared" si="0"/>
        <v>D-ECS-LVDS33-1000-BN</v>
      </c>
      <c r="J7" s="14" t="str">
        <f t="shared" si="1"/>
        <v>D-ECS-LVDS33-1000-BN</v>
      </c>
    </row>
    <row r="8" spans="1:10" x14ac:dyDescent="0.25">
      <c r="A8" s="13" t="s">
        <v>334</v>
      </c>
      <c r="B8" s="2" t="s">
        <v>335</v>
      </c>
      <c r="C8" s="13" t="s">
        <v>336</v>
      </c>
      <c r="D8" s="2" t="s">
        <v>337</v>
      </c>
      <c r="E8" s="13" t="s">
        <v>905</v>
      </c>
      <c r="F8" s="13" t="s">
        <v>334</v>
      </c>
      <c r="G8" s="13" t="s">
        <v>888</v>
      </c>
      <c r="H8" s="2" t="s">
        <v>339</v>
      </c>
      <c r="I8" s="14" t="str">
        <f t="shared" si="0"/>
        <v>D-LSM6DS3TR-C</v>
      </c>
      <c r="J8" s="14" t="str">
        <f t="shared" si="1"/>
        <v>D-LSM6DS3TR-C</v>
      </c>
    </row>
    <row r="9" spans="1:10" x14ac:dyDescent="0.25">
      <c r="A9" s="13" t="s">
        <v>362</v>
      </c>
      <c r="B9" s="2" t="s">
        <v>360</v>
      </c>
      <c r="C9" s="13" t="s">
        <v>100</v>
      </c>
      <c r="D9" s="13" t="s">
        <v>361</v>
      </c>
      <c r="E9" s="13" t="s">
        <v>905</v>
      </c>
      <c r="F9" s="13" t="s">
        <v>362</v>
      </c>
      <c r="G9" s="13" t="s">
        <v>888</v>
      </c>
      <c r="H9" s="13" t="s">
        <v>361</v>
      </c>
      <c r="I9" s="14" t="str">
        <f t="shared" si="0"/>
        <v>D-SN74LVC1G08DCKRE4</v>
      </c>
      <c r="J9" s="14" t="str">
        <f t="shared" si="1"/>
        <v>D-SN74LVC1G08DCKRE4</v>
      </c>
    </row>
    <row r="10" spans="1:10" s="17" customFormat="1" x14ac:dyDescent="0.25">
      <c r="A10" s="17" t="s">
        <v>446</v>
      </c>
      <c r="B10" s="2" t="s">
        <v>447</v>
      </c>
      <c r="C10" s="17" t="s">
        <v>244</v>
      </c>
      <c r="D10" s="2" t="s">
        <v>448</v>
      </c>
      <c r="E10" s="13" t="s">
        <v>906</v>
      </c>
      <c r="F10" s="13" t="s">
        <v>446</v>
      </c>
      <c r="H10" s="13"/>
      <c r="I10" s="17" t="str">
        <f t="shared" si="0"/>
        <v>D-TCM1-63AX+</v>
      </c>
      <c r="J10" s="17" t="str">
        <f t="shared" si="1"/>
        <v>D-TCM1-63AX+</v>
      </c>
    </row>
    <row r="11" spans="1:10" s="17" customFormat="1" x14ac:dyDescent="0.25">
      <c r="A11" s="17" t="s">
        <v>566</v>
      </c>
      <c r="B11" s="17" t="s">
        <v>567</v>
      </c>
      <c r="C11" s="17" t="s">
        <v>568</v>
      </c>
      <c r="E11" s="13" t="s">
        <v>905</v>
      </c>
      <c r="F11" s="13" t="s">
        <v>566</v>
      </c>
      <c r="H11" s="13"/>
      <c r="I11" s="17" t="str">
        <f t="shared" si="0"/>
        <v>D-CX3225SB12000H0FLJCC</v>
      </c>
      <c r="J11" s="17" t="str">
        <f t="shared" si="1"/>
        <v>D-CX3225SB12000H0FLJCC</v>
      </c>
    </row>
    <row r="12" spans="1:10" x14ac:dyDescent="0.25">
      <c r="A12" s="13" t="s">
        <v>590</v>
      </c>
      <c r="B12" s="13" t="s">
        <v>592</v>
      </c>
      <c r="C12" s="13" t="s">
        <v>591</v>
      </c>
      <c r="E12" s="13" t="s">
        <v>905</v>
      </c>
      <c r="F12" s="13" t="s">
        <v>604</v>
      </c>
      <c r="I12" s="17" t="str">
        <f t="shared" si="0"/>
        <v>D-1825140-2</v>
      </c>
      <c r="J12" s="17" t="str">
        <f t="shared" si="1"/>
        <v>D-1825140-2</v>
      </c>
    </row>
    <row r="13" spans="1:10" x14ac:dyDescent="0.25">
      <c r="A13" s="13" t="s">
        <v>597</v>
      </c>
      <c r="B13" s="13" t="s">
        <v>598</v>
      </c>
      <c r="C13" s="13" t="s">
        <v>599</v>
      </c>
      <c r="D13" s="13" t="s">
        <v>11</v>
      </c>
      <c r="E13" s="13" t="s">
        <v>905</v>
      </c>
      <c r="F13" s="13" t="s">
        <v>596</v>
      </c>
      <c r="I13" s="17" t="str">
        <f t="shared" si="0"/>
        <v>D-LTST-C191KGKT</v>
      </c>
      <c r="J13" s="17" t="str">
        <f t="shared" si="1"/>
        <v>D-LTST-C191KGKT</v>
      </c>
    </row>
    <row r="14" spans="1:10" s="17" customFormat="1" x14ac:dyDescent="0.25">
      <c r="A14" s="17" t="s">
        <v>603</v>
      </c>
      <c r="B14" s="17" t="s">
        <v>602</v>
      </c>
      <c r="C14" s="17" t="s">
        <v>601</v>
      </c>
      <c r="E14" s="13" t="s">
        <v>905</v>
      </c>
      <c r="F14" s="17" t="s">
        <v>600</v>
      </c>
      <c r="G14" s="17" t="s">
        <v>338</v>
      </c>
      <c r="I14" s="17" t="str">
        <f t="shared" si="0"/>
        <v>D-B3U-1100P-B</v>
      </c>
      <c r="J14" s="17" t="str">
        <f t="shared" si="1"/>
        <v>D-B3U-1100P-B</v>
      </c>
    </row>
    <row r="15" spans="1:10" x14ac:dyDescent="0.25">
      <c r="A15" s="13" t="s">
        <v>605</v>
      </c>
      <c r="B15" s="13" t="s">
        <v>606</v>
      </c>
      <c r="C15" s="13" t="s">
        <v>607</v>
      </c>
      <c r="E15" s="13" t="s">
        <v>905</v>
      </c>
      <c r="F15" s="13" t="s">
        <v>604</v>
      </c>
      <c r="I15" s="17" t="str">
        <f t="shared" si="0"/>
        <v>D-CT2064-ND</v>
      </c>
      <c r="J15" s="17" t="str">
        <f t="shared" si="1"/>
        <v>D-CT2064-ND</v>
      </c>
    </row>
    <row r="16" spans="1:10" x14ac:dyDescent="0.25">
      <c r="A16" s="13" t="s">
        <v>660</v>
      </c>
      <c r="B16" s="13" t="s">
        <v>661</v>
      </c>
      <c r="C16" s="13" t="s">
        <v>662</v>
      </c>
      <c r="E16" s="13" t="s">
        <v>905</v>
      </c>
      <c r="F16" s="13" t="s">
        <v>663</v>
      </c>
      <c r="I16" s="17" t="str">
        <f t="shared" si="0"/>
        <v>D-SM712-02HTG</v>
      </c>
      <c r="J16" s="17" t="str">
        <f t="shared" si="1"/>
        <v>D-SM712-02HTG</v>
      </c>
    </row>
    <row r="17" spans="1:10" x14ac:dyDescent="0.25">
      <c r="A17" s="2" t="s">
        <v>669</v>
      </c>
      <c r="B17" s="2" t="s">
        <v>670</v>
      </c>
      <c r="C17" s="13" t="s">
        <v>176</v>
      </c>
      <c r="D17" s="2" t="s">
        <v>671</v>
      </c>
      <c r="E17" s="13" t="s">
        <v>905</v>
      </c>
      <c r="F17" s="13" t="s">
        <v>669</v>
      </c>
      <c r="I17" s="17" t="str">
        <f t="shared" si="0"/>
        <v>D-PESD3V3L1BA</v>
      </c>
      <c r="J17" s="17" t="str">
        <f t="shared" si="1"/>
        <v>D-PESD3V3L1BA</v>
      </c>
    </row>
    <row r="18" spans="1:10" x14ac:dyDescent="0.25">
      <c r="A18" s="13" t="s">
        <v>680</v>
      </c>
      <c r="B18" s="13" t="s">
        <v>251</v>
      </c>
      <c r="E18" s="13" t="s">
        <v>905</v>
      </c>
      <c r="F18" s="13" t="s">
        <v>216</v>
      </c>
      <c r="G18" s="13" t="s">
        <v>901</v>
      </c>
      <c r="H18" s="13" t="s">
        <v>680</v>
      </c>
      <c r="I18" s="17"/>
      <c r="J18" s="17"/>
    </row>
    <row r="19" spans="1:10" x14ac:dyDescent="0.25">
      <c r="A19" s="13" t="s">
        <v>681</v>
      </c>
      <c r="B19" s="13" t="s">
        <v>682</v>
      </c>
      <c r="E19" s="13" t="s">
        <v>905</v>
      </c>
      <c r="F19" s="13" t="s">
        <v>683</v>
      </c>
      <c r="I19" s="17"/>
      <c r="J19" s="17"/>
    </row>
    <row r="24" spans="1:10" x14ac:dyDescent="0.25">
      <c r="I24" s="31"/>
    </row>
    <row r="25" spans="1:10" x14ac:dyDescent="0.25">
      <c r="I25" s="31" t="s">
        <v>329</v>
      </c>
    </row>
    <row r="26" spans="1:10" x14ac:dyDescent="0.25">
      <c r="I26" s="31"/>
    </row>
    <row r="27" spans="1:10" x14ac:dyDescent="0.25">
      <c r="A27" s="2"/>
      <c r="F27" s="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0C3AA-8F1E-4D93-8E4C-115E6E30BA7E}">
  <dimension ref="A1:K7"/>
  <sheetViews>
    <sheetView workbookViewId="0">
      <selection activeCell="F13" sqref="F13"/>
    </sheetView>
  </sheetViews>
  <sheetFormatPr defaultRowHeight="15.75" x14ac:dyDescent="0.25"/>
  <cols>
    <col min="1" max="1" width="24.25" style="2" customWidth="1"/>
    <col min="2" max="2" width="16" style="2" customWidth="1"/>
    <col min="3" max="3" width="13.75" style="2" customWidth="1"/>
    <col min="4" max="4" width="11.625" style="2" customWidth="1"/>
    <col min="5" max="5" width="9" style="2"/>
    <col min="6" max="6" width="38.625" style="2" customWidth="1"/>
    <col min="7" max="7" width="18.375" style="2" customWidth="1"/>
    <col min="8" max="8" width="19.125" style="2" customWidth="1"/>
    <col min="9" max="9" width="23" style="2" customWidth="1"/>
    <col min="10" max="10" width="17.125" style="2" customWidth="1"/>
    <col min="11" max="11" width="16.5" style="2" customWidth="1"/>
    <col min="12" max="16384" width="9" style="2"/>
  </cols>
  <sheetData>
    <row r="1" spans="1:1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37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6" t="s">
        <v>36</v>
      </c>
    </row>
    <row r="2" spans="1:11" x14ac:dyDescent="0.25">
      <c r="A2" s="2" t="s">
        <v>401</v>
      </c>
      <c r="B2" s="2" t="s">
        <v>402</v>
      </c>
      <c r="C2" s="2" t="s">
        <v>403</v>
      </c>
      <c r="D2" s="2" t="s">
        <v>404</v>
      </c>
      <c r="E2" s="2" t="s">
        <v>456</v>
      </c>
      <c r="F2" s="13" t="s">
        <v>405</v>
      </c>
      <c r="G2" s="2" t="s">
        <v>401</v>
      </c>
      <c r="H2" s="2" t="s">
        <v>888</v>
      </c>
      <c r="J2" s="2" t="str">
        <f t="shared" ref="J2:J7" si="0">_xlfn.CONCAT("D-",A2)</f>
        <v>D-SI53340-B-GM</v>
      </c>
      <c r="K2" s="2" t="str">
        <f t="shared" ref="K2:K7" si="1">J2</f>
        <v>D-SI53340-B-GM</v>
      </c>
    </row>
    <row r="3" spans="1:11" x14ac:dyDescent="0.25">
      <c r="A3" s="2" t="s">
        <v>453</v>
      </c>
      <c r="B3" s="2" t="s">
        <v>454</v>
      </c>
      <c r="C3" s="2" t="s">
        <v>100</v>
      </c>
      <c r="D3" s="2" t="s">
        <v>455</v>
      </c>
      <c r="E3" s="2" t="s">
        <v>456</v>
      </c>
      <c r="F3" s="13" t="s">
        <v>405</v>
      </c>
      <c r="G3" s="2" t="s">
        <v>453</v>
      </c>
      <c r="J3" s="2" t="str">
        <f t="shared" si="0"/>
        <v>D-LMK04828BISQ</v>
      </c>
      <c r="K3" s="2" t="str">
        <f t="shared" si="1"/>
        <v>D-LMK04828BISQ</v>
      </c>
    </row>
    <row r="4" spans="1:11" x14ac:dyDescent="0.25">
      <c r="A4" s="2" t="s">
        <v>457</v>
      </c>
      <c r="B4" s="2" t="s">
        <v>458</v>
      </c>
      <c r="C4" s="2" t="s">
        <v>459</v>
      </c>
      <c r="D4" s="2" t="s">
        <v>576</v>
      </c>
      <c r="E4" s="2" t="s">
        <v>456</v>
      </c>
      <c r="F4" s="13" t="s">
        <v>405</v>
      </c>
      <c r="G4" s="2" t="s">
        <v>457</v>
      </c>
      <c r="J4" s="2" t="str">
        <f t="shared" si="0"/>
        <v>D-CVHD-950-100.000</v>
      </c>
      <c r="K4" s="2" t="str">
        <f t="shared" si="1"/>
        <v>D-CVHD-950-100.000</v>
      </c>
    </row>
    <row r="5" spans="1:11" x14ac:dyDescent="0.25">
      <c r="A5" s="2" t="s">
        <v>573</v>
      </c>
      <c r="B5" s="2" t="s">
        <v>574</v>
      </c>
      <c r="C5" s="2" t="s">
        <v>100</v>
      </c>
      <c r="D5" s="2" t="s">
        <v>575</v>
      </c>
      <c r="F5" s="13" t="s">
        <v>577</v>
      </c>
      <c r="G5" s="2" t="s">
        <v>573</v>
      </c>
      <c r="J5" s="2" t="str">
        <f t="shared" si="0"/>
        <v>D-TPD4S012</v>
      </c>
      <c r="K5" s="2" t="str">
        <f t="shared" si="1"/>
        <v>D-TPD4S012</v>
      </c>
    </row>
    <row r="6" spans="1:11" x14ac:dyDescent="0.25">
      <c r="A6" s="2" t="s">
        <v>611</v>
      </c>
      <c r="B6" s="2" t="s">
        <v>612</v>
      </c>
      <c r="C6" s="2" t="s">
        <v>613</v>
      </c>
      <c r="D6" s="2" t="s">
        <v>576</v>
      </c>
      <c r="F6" s="13" t="s">
        <v>405</v>
      </c>
      <c r="G6" s="2" t="s">
        <v>611</v>
      </c>
      <c r="J6" s="2" t="str">
        <f t="shared" si="0"/>
        <v>D-7B-25.000MAAJ-T</v>
      </c>
      <c r="K6" s="2" t="str">
        <f t="shared" si="1"/>
        <v>D-7B-25.000MAAJ-T</v>
      </c>
    </row>
    <row r="7" spans="1:11" x14ac:dyDescent="0.25">
      <c r="A7" s="2" t="s">
        <v>647</v>
      </c>
      <c r="B7" s="2" t="s">
        <v>650</v>
      </c>
      <c r="C7" s="2" t="s">
        <v>651</v>
      </c>
      <c r="D7" s="2" t="s">
        <v>652</v>
      </c>
      <c r="E7" s="2" t="s">
        <v>456</v>
      </c>
      <c r="F7" s="13" t="s">
        <v>405</v>
      </c>
      <c r="G7" s="2" t="s">
        <v>647</v>
      </c>
      <c r="J7" s="2" t="str">
        <f t="shared" si="0"/>
        <v>D-ASGTX-C-122.880MHZ-1</v>
      </c>
      <c r="K7" s="2" t="str">
        <f t="shared" si="1"/>
        <v>D-ASGTX-C-122.880MHZ-1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160A9-941D-465D-A771-2D9949761A38}">
  <dimension ref="A1:J13"/>
  <sheetViews>
    <sheetView workbookViewId="0">
      <selection activeCell="I16" sqref="I16"/>
    </sheetView>
  </sheetViews>
  <sheetFormatPr defaultRowHeight="15.75" x14ac:dyDescent="0.25"/>
  <cols>
    <col min="1" max="1" width="17.875" style="2" bestFit="1" customWidth="1"/>
    <col min="2" max="2" width="31.875" style="2" customWidth="1"/>
    <col min="3" max="3" width="22" style="2" customWidth="1"/>
    <col min="4" max="4" width="8.625" style="2" bestFit="1" customWidth="1"/>
    <col min="5" max="5" width="32.625" style="2" customWidth="1"/>
    <col min="6" max="6" width="17.75" style="2" customWidth="1"/>
    <col min="7" max="7" width="20.25" style="2" bestFit="1" customWidth="1"/>
    <col min="8" max="8" width="14.375" style="2" customWidth="1"/>
    <col min="9" max="10" width="19.75" style="2" bestFit="1" customWidth="1"/>
    <col min="11" max="16384" width="9" style="2"/>
  </cols>
  <sheetData>
    <row r="1" spans="1:10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5</v>
      </c>
      <c r="F1" s="13" t="s">
        <v>6</v>
      </c>
      <c r="G1" s="13" t="s">
        <v>7</v>
      </c>
      <c r="H1" s="13" t="s">
        <v>8</v>
      </c>
      <c r="I1" s="22" t="s">
        <v>29</v>
      </c>
      <c r="J1" s="26" t="s">
        <v>36</v>
      </c>
    </row>
    <row r="2" spans="1:10" x14ac:dyDescent="0.25">
      <c r="A2" s="2" t="s">
        <v>503</v>
      </c>
      <c r="B2" s="2" t="s">
        <v>504</v>
      </c>
      <c r="C2" s="2" t="s">
        <v>100</v>
      </c>
      <c r="D2" s="2" t="s">
        <v>505</v>
      </c>
      <c r="E2" s="13" t="s">
        <v>506</v>
      </c>
      <c r="F2" s="2" t="s">
        <v>507</v>
      </c>
      <c r="G2" s="2" t="s">
        <v>888</v>
      </c>
      <c r="I2" s="2" t="str">
        <f t="shared" ref="I2:I13" si="0">_xlfn.CONCAT("D-",A2)</f>
        <v>D-TXS02612RTWR</v>
      </c>
      <c r="J2" s="2" t="str">
        <f>I2</f>
        <v>D-TXS02612RTWR</v>
      </c>
    </row>
    <row r="3" spans="1:10" x14ac:dyDescent="0.25">
      <c r="A3" s="2" t="s">
        <v>549</v>
      </c>
      <c r="B3" s="2" t="s">
        <v>550</v>
      </c>
      <c r="C3" s="2" t="s">
        <v>100</v>
      </c>
      <c r="D3" s="2" t="s">
        <v>551</v>
      </c>
      <c r="E3" s="13" t="s">
        <v>506</v>
      </c>
      <c r="F3" s="2" t="s">
        <v>549</v>
      </c>
      <c r="G3" s="2" t="s">
        <v>888</v>
      </c>
      <c r="I3" s="2" t="str">
        <f t="shared" si="0"/>
        <v>D-SN74AVC4T245RSVR</v>
      </c>
      <c r="J3" s="2" t="str">
        <f>I3</f>
        <v>D-SN74AVC4T245RSVR</v>
      </c>
    </row>
    <row r="4" spans="1:10" x14ac:dyDescent="0.25">
      <c r="A4" s="2" t="s">
        <v>553</v>
      </c>
      <c r="B4" s="2" t="s">
        <v>552</v>
      </c>
      <c r="C4" s="2" t="s">
        <v>100</v>
      </c>
      <c r="D4" s="2" t="s">
        <v>554</v>
      </c>
      <c r="E4" s="13" t="s">
        <v>506</v>
      </c>
      <c r="F4" s="2" t="s">
        <v>553</v>
      </c>
      <c r="G4" s="2" t="s">
        <v>888</v>
      </c>
      <c r="I4" s="2" t="str">
        <f t="shared" si="0"/>
        <v>D-SN74AVC2T245RSW</v>
      </c>
      <c r="J4" s="2" t="str">
        <f t="shared" ref="J4:J9" si="1">I4</f>
        <v>D-SN74AVC2T245RSW</v>
      </c>
    </row>
    <row r="5" spans="1:10" x14ac:dyDescent="0.25">
      <c r="A5" s="2" t="s">
        <v>555</v>
      </c>
      <c r="B5" s="2" t="s">
        <v>556</v>
      </c>
      <c r="C5" s="2" t="s">
        <v>100</v>
      </c>
      <c r="D5" s="2" t="s">
        <v>561</v>
      </c>
      <c r="E5" s="13" t="s">
        <v>506</v>
      </c>
      <c r="F5" s="2" t="s">
        <v>555</v>
      </c>
      <c r="G5" s="2" t="s">
        <v>888</v>
      </c>
      <c r="I5" s="2" t="str">
        <f t="shared" si="0"/>
        <v>D-FT4232HL</v>
      </c>
      <c r="J5" s="2" t="str">
        <f t="shared" si="1"/>
        <v>D-FT4232HL</v>
      </c>
    </row>
    <row r="6" spans="1:10" x14ac:dyDescent="0.25">
      <c r="A6" s="2" t="s">
        <v>559</v>
      </c>
      <c r="B6" s="2" t="s">
        <v>558</v>
      </c>
      <c r="C6" s="2" t="s">
        <v>100</v>
      </c>
      <c r="D6" s="2" t="s">
        <v>560</v>
      </c>
      <c r="E6" s="13" t="s">
        <v>506</v>
      </c>
      <c r="F6" s="2" t="s">
        <v>557</v>
      </c>
      <c r="G6" s="2" t="s">
        <v>888</v>
      </c>
      <c r="I6" s="2" t="str">
        <f t="shared" si="0"/>
        <v>D-TXS0108EPW</v>
      </c>
      <c r="J6" s="2" t="str">
        <f t="shared" si="1"/>
        <v>D-TXS0108EPW</v>
      </c>
    </row>
    <row r="7" spans="1:10" x14ac:dyDescent="0.25">
      <c r="A7" s="2" t="s">
        <v>579</v>
      </c>
      <c r="B7" s="3" t="s">
        <v>578</v>
      </c>
      <c r="C7" s="2" t="s">
        <v>580</v>
      </c>
      <c r="D7" s="2" t="s">
        <v>581</v>
      </c>
      <c r="E7" s="13" t="s">
        <v>506</v>
      </c>
      <c r="F7" s="2" t="s">
        <v>579</v>
      </c>
      <c r="G7" s="2" t="s">
        <v>888</v>
      </c>
      <c r="I7" s="2" t="str">
        <f t="shared" si="0"/>
        <v>D-93LC56BT/SN</v>
      </c>
      <c r="J7" s="2" t="str">
        <f t="shared" si="1"/>
        <v>D-93LC56BT/SN</v>
      </c>
    </row>
    <row r="8" spans="1:10" x14ac:dyDescent="0.25">
      <c r="A8" s="2" t="s">
        <v>608</v>
      </c>
      <c r="B8" s="2" t="s">
        <v>609</v>
      </c>
      <c r="C8" s="2" t="s">
        <v>100</v>
      </c>
      <c r="D8" s="2" t="s">
        <v>610</v>
      </c>
      <c r="E8" s="13" t="s">
        <v>506</v>
      </c>
      <c r="F8" s="2" t="s">
        <v>608</v>
      </c>
      <c r="G8" s="2" t="s">
        <v>888</v>
      </c>
      <c r="I8" s="2" t="str">
        <f t="shared" si="0"/>
        <v>D-DP83867ISRGZ</v>
      </c>
      <c r="J8" s="2" t="str">
        <f t="shared" si="1"/>
        <v>D-DP83867ISRGZ</v>
      </c>
    </row>
    <row r="9" spans="1:10" x14ac:dyDescent="0.25">
      <c r="A9" s="2" t="s">
        <v>642</v>
      </c>
      <c r="B9" s="2" t="s">
        <v>643</v>
      </c>
      <c r="C9" s="2" t="s">
        <v>91</v>
      </c>
      <c r="D9" s="2" t="s">
        <v>581</v>
      </c>
      <c r="E9" s="13" t="s">
        <v>506</v>
      </c>
      <c r="F9" s="2" t="s">
        <v>641</v>
      </c>
      <c r="G9" s="2" t="s">
        <v>888</v>
      </c>
      <c r="I9" s="2" t="str">
        <f t="shared" si="0"/>
        <v>D-MAX3485CSA</v>
      </c>
      <c r="J9" s="2" t="str">
        <f t="shared" si="1"/>
        <v>D-MAX3485CSA</v>
      </c>
    </row>
    <row r="10" spans="1:10" x14ac:dyDescent="0.25">
      <c r="A10" s="2" t="s">
        <v>709</v>
      </c>
      <c r="B10" s="2" t="s">
        <v>710</v>
      </c>
      <c r="C10" s="2" t="s">
        <v>100</v>
      </c>
      <c r="D10" s="2" t="s">
        <v>711</v>
      </c>
      <c r="E10" s="13" t="s">
        <v>506</v>
      </c>
      <c r="F10" s="2" t="s">
        <v>709</v>
      </c>
      <c r="G10" s="2" t="s">
        <v>888</v>
      </c>
      <c r="H10" s="2" t="s">
        <v>865</v>
      </c>
      <c r="I10" s="2" t="str">
        <f t="shared" si="0"/>
        <v>D-SN74LVC1G14DBVT</v>
      </c>
      <c r="J10" s="2" t="str">
        <f>I10</f>
        <v>D-SN74LVC1G14DBVT</v>
      </c>
    </row>
    <row r="11" spans="1:10" x14ac:dyDescent="0.25">
      <c r="A11" s="2" t="s">
        <v>712</v>
      </c>
      <c r="B11" s="2" t="s">
        <v>713</v>
      </c>
      <c r="C11" s="2" t="s">
        <v>100</v>
      </c>
      <c r="D11" s="2" t="s">
        <v>711</v>
      </c>
      <c r="E11" s="13" t="s">
        <v>506</v>
      </c>
      <c r="F11" s="2" t="s">
        <v>712</v>
      </c>
      <c r="G11" s="2" t="s">
        <v>888</v>
      </c>
      <c r="H11" s="2" t="s">
        <v>865</v>
      </c>
      <c r="I11" s="2" t="str">
        <f t="shared" si="0"/>
        <v>D-SN74LVC1G17DBVT</v>
      </c>
      <c r="J11" s="2" t="str">
        <f>I11</f>
        <v>D-SN74LVC1G17DBVT</v>
      </c>
    </row>
    <row r="12" spans="1:10" x14ac:dyDescent="0.25">
      <c r="A12" s="2" t="s">
        <v>848</v>
      </c>
      <c r="B12" s="2" t="s">
        <v>815</v>
      </c>
      <c r="C12" s="2" t="s">
        <v>100</v>
      </c>
      <c r="D12" s="2" t="s">
        <v>816</v>
      </c>
      <c r="E12" s="13" t="s">
        <v>506</v>
      </c>
      <c r="F12" s="2" t="s">
        <v>814</v>
      </c>
      <c r="G12" s="2" t="s">
        <v>888</v>
      </c>
      <c r="H12" s="2" t="s">
        <v>816</v>
      </c>
      <c r="I12" s="2" t="str">
        <f t="shared" si="0"/>
        <v>D-TXS0104ERGYR</v>
      </c>
      <c r="J12" s="2" t="str">
        <f>I12</f>
        <v>D-TXS0104ERGYR</v>
      </c>
    </row>
    <row r="13" spans="1:10" x14ac:dyDescent="0.25">
      <c r="A13" s="2" t="s">
        <v>862</v>
      </c>
      <c r="B13" s="2" t="s">
        <v>863</v>
      </c>
      <c r="C13" s="2" t="s">
        <v>100</v>
      </c>
      <c r="D13" s="2" t="s">
        <v>711</v>
      </c>
      <c r="E13" s="13" t="s">
        <v>506</v>
      </c>
      <c r="F13" s="2" t="s">
        <v>864</v>
      </c>
      <c r="G13" s="2" t="s">
        <v>888</v>
      </c>
      <c r="H13" s="2" t="s">
        <v>865</v>
      </c>
      <c r="I13" s="2" t="str">
        <f t="shared" si="0"/>
        <v>D-SN65LVDS1DBVR</v>
      </c>
      <c r="J13" s="2" t="str">
        <f>I13</f>
        <v>D-SN65LVDS1DBVR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Capacitors_General</vt:lpstr>
      <vt:lpstr>Capacitors_RF</vt:lpstr>
      <vt:lpstr>Integrated_Power</vt:lpstr>
      <vt:lpstr>Resistors</vt:lpstr>
      <vt:lpstr>Inductors_RF</vt:lpstr>
      <vt:lpstr>Inductors_Power</vt:lpstr>
      <vt:lpstr>Filters</vt:lpstr>
      <vt:lpstr>IC_RF</vt:lpstr>
      <vt:lpstr>Connectors</vt:lpstr>
      <vt:lpstr>Transistors</vt:lpstr>
      <vt:lpstr>Misc</vt:lpstr>
      <vt:lpstr>IC_Analog</vt:lpstr>
      <vt:lpstr>IC_DIGITAL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</dc:creator>
  <cp:lastModifiedBy>Andrey Bugaev</cp:lastModifiedBy>
  <dcterms:created xsi:type="dcterms:W3CDTF">2025-02-07T14:58:17Z</dcterms:created>
  <dcterms:modified xsi:type="dcterms:W3CDTF">2025-12-24T11:52:13Z</dcterms:modified>
</cp:coreProperties>
</file>