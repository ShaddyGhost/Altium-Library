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Altium-Library\"/>
    </mc:Choice>
  </mc:AlternateContent>
  <xr:revisionPtr revIDLastSave="0" documentId="13_ncr:1_{A2430F07-A356-4042-A4A5-DAED49A53D87}" xr6:coauthVersionLast="47" xr6:coauthVersionMax="47" xr10:uidLastSave="{00000000-0000-0000-0000-000000000000}"/>
  <bookViews>
    <workbookView xWindow="28680" yWindow="-120" windowWidth="38640" windowHeight="21120" activeTab="3" xr2:uid="{00000000-000D-0000-FFFF-FFFF00000000}"/>
  </bookViews>
  <sheets>
    <sheet name="Capacitors_General" sheetId="1" r:id="rId1"/>
    <sheet name="Capacitors_RF" sheetId="17" r:id="rId2"/>
    <sheet name="Resistors" sheetId="2" r:id="rId3"/>
    <sheet name="Inductors_RF" sheetId="3" r:id="rId4"/>
    <sheet name="Inductors_Power" sheetId="15" r:id="rId5"/>
    <sheet name="Filters" sheetId="16" r:id="rId6"/>
    <sheet name="IC_Power" sheetId="8" r:id="rId7"/>
    <sheet name="IC_Analog" sheetId="12" r:id="rId8"/>
    <sheet name="IC_DIGITAL" sheetId="13" r:id="rId9"/>
    <sheet name="IC_RF" sheetId="4" r:id="rId10"/>
    <sheet name="Connectors" sheetId="5" r:id="rId11"/>
    <sheet name="Transistors" sheetId="11" r:id="rId12"/>
    <sheet name="Diodes" sheetId="19" r:id="rId13"/>
    <sheet name="Misc" sheetId="6" r:id="rId14"/>
    <sheet name="FPGA_MCU" sheetId="18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22" i="3" l="1"/>
  <c r="L22" i="3"/>
  <c r="K117" i="2"/>
  <c r="L117" i="2" s="1"/>
  <c r="J117" i="2"/>
  <c r="K116" i="2"/>
  <c r="L116" i="2" s="1"/>
  <c r="J116" i="2"/>
  <c r="K115" i="2"/>
  <c r="L115" i="2" s="1"/>
  <c r="J115" i="2"/>
  <c r="I7" i="19"/>
  <c r="J7" i="19" s="1"/>
  <c r="K114" i="2"/>
  <c r="L114" i="2" s="1"/>
  <c r="J114" i="2"/>
  <c r="K15" i="12"/>
  <c r="J15" i="12"/>
  <c r="O48" i="1"/>
  <c r="N48" i="1"/>
  <c r="M48" i="1"/>
  <c r="K113" i="2"/>
  <c r="L113" i="2" s="1"/>
  <c r="J113" i="2"/>
  <c r="J2" i="2"/>
  <c r="K2" i="2"/>
  <c r="L2" i="2" s="1"/>
  <c r="J3" i="2"/>
  <c r="K3" i="2"/>
  <c r="L3" i="2" s="1"/>
  <c r="J4" i="2"/>
  <c r="K4" i="2"/>
  <c r="L4" i="2" s="1"/>
  <c r="J5" i="2"/>
  <c r="K5" i="2"/>
  <c r="L5" i="2" s="1"/>
  <c r="J6" i="2"/>
  <c r="K6" i="2"/>
  <c r="L6" i="2" s="1"/>
  <c r="J7" i="2"/>
  <c r="K7" i="2"/>
  <c r="L7" i="2" s="1"/>
  <c r="J8" i="2"/>
  <c r="K8" i="2"/>
  <c r="L8" i="2" s="1"/>
  <c r="J9" i="2"/>
  <c r="K9" i="2"/>
  <c r="L9" i="2" s="1"/>
  <c r="J10" i="2"/>
  <c r="K10" i="2"/>
  <c r="L10" i="2" s="1"/>
  <c r="J11" i="2"/>
  <c r="K11" i="2"/>
  <c r="L11" i="2" s="1"/>
  <c r="J12" i="2"/>
  <c r="K12" i="2"/>
  <c r="L12" i="2" s="1"/>
  <c r="J13" i="2"/>
  <c r="K13" i="2"/>
  <c r="L13" i="2" s="1"/>
  <c r="J14" i="2"/>
  <c r="K14" i="2"/>
  <c r="L14" i="2" s="1"/>
  <c r="J15" i="2"/>
  <c r="K15" i="2"/>
  <c r="L15" i="2" s="1"/>
  <c r="J16" i="2"/>
  <c r="K16" i="2"/>
  <c r="L16" i="2" s="1"/>
  <c r="J17" i="2"/>
  <c r="K17" i="2"/>
  <c r="L17" i="2" s="1"/>
  <c r="J18" i="2"/>
  <c r="K18" i="2"/>
  <c r="L18" i="2" s="1"/>
  <c r="J19" i="2"/>
  <c r="K19" i="2"/>
  <c r="L19" i="2" s="1"/>
  <c r="J20" i="2"/>
  <c r="K20" i="2"/>
  <c r="L20" i="2" s="1"/>
  <c r="J21" i="2"/>
  <c r="K21" i="2"/>
  <c r="L21" i="2" s="1"/>
  <c r="J22" i="2"/>
  <c r="K22" i="2"/>
  <c r="L22" i="2" s="1"/>
  <c r="J23" i="2"/>
  <c r="K23" i="2"/>
  <c r="L23" i="2" s="1"/>
  <c r="J24" i="2"/>
  <c r="K24" i="2"/>
  <c r="L24" i="2" s="1"/>
  <c r="J25" i="2"/>
  <c r="K25" i="2"/>
  <c r="L25" i="2" s="1"/>
  <c r="J26" i="2"/>
  <c r="K26" i="2"/>
  <c r="L26" i="2" s="1"/>
  <c r="J27" i="2"/>
  <c r="K27" i="2"/>
  <c r="L27" i="2" s="1"/>
  <c r="J28" i="2"/>
  <c r="K28" i="2"/>
  <c r="L28" i="2" s="1"/>
  <c r="J29" i="2"/>
  <c r="K29" i="2"/>
  <c r="L29" i="2" s="1"/>
  <c r="J30" i="2"/>
  <c r="K30" i="2"/>
  <c r="L30" i="2" s="1"/>
  <c r="J31" i="2"/>
  <c r="K31" i="2"/>
  <c r="L31" i="2" s="1"/>
  <c r="J32" i="2"/>
  <c r="K32" i="2"/>
  <c r="L32" i="2" s="1"/>
  <c r="J33" i="2"/>
  <c r="K33" i="2"/>
  <c r="L33" i="2" s="1"/>
  <c r="J34" i="2"/>
  <c r="K34" i="2"/>
  <c r="L34" i="2" s="1"/>
  <c r="J35" i="2"/>
  <c r="K35" i="2"/>
  <c r="L35" i="2" s="1"/>
  <c r="J36" i="2"/>
  <c r="K36" i="2"/>
  <c r="L36" i="2" s="1"/>
  <c r="J37" i="2"/>
  <c r="K37" i="2"/>
  <c r="L37" i="2" s="1"/>
  <c r="J38" i="2"/>
  <c r="K38" i="2"/>
  <c r="L38" i="2" s="1"/>
  <c r="J39" i="2"/>
  <c r="K39" i="2"/>
  <c r="L39" i="2" s="1"/>
  <c r="J40" i="2"/>
  <c r="K40" i="2"/>
  <c r="L40" i="2" s="1"/>
  <c r="J41" i="2"/>
  <c r="K41" i="2"/>
  <c r="L41" i="2" s="1"/>
  <c r="J42" i="2"/>
  <c r="K42" i="2"/>
  <c r="L42" i="2" s="1"/>
  <c r="J43" i="2"/>
  <c r="K43" i="2"/>
  <c r="L43" i="2" s="1"/>
  <c r="J44" i="2"/>
  <c r="K44" i="2"/>
  <c r="L44" i="2" s="1"/>
  <c r="J45" i="2"/>
  <c r="K45" i="2"/>
  <c r="L45" i="2" s="1"/>
  <c r="J46" i="2"/>
  <c r="K46" i="2"/>
  <c r="L46" i="2" s="1"/>
  <c r="J47" i="2"/>
  <c r="K47" i="2"/>
  <c r="L47" i="2" s="1"/>
  <c r="J48" i="2"/>
  <c r="K48" i="2"/>
  <c r="L48" i="2" s="1"/>
  <c r="J49" i="2"/>
  <c r="K49" i="2"/>
  <c r="L49" i="2" s="1"/>
  <c r="J50" i="2"/>
  <c r="K50" i="2"/>
  <c r="L50" i="2" s="1"/>
  <c r="J51" i="2"/>
  <c r="K51" i="2"/>
  <c r="L51" i="2" s="1"/>
  <c r="J52" i="2"/>
  <c r="K52" i="2"/>
  <c r="L52" i="2" s="1"/>
  <c r="J53" i="2"/>
  <c r="K53" i="2"/>
  <c r="L53" i="2" s="1"/>
  <c r="J54" i="2"/>
  <c r="K54" i="2"/>
  <c r="L54" i="2" s="1"/>
  <c r="J55" i="2"/>
  <c r="K55" i="2"/>
  <c r="L55" i="2" s="1"/>
  <c r="J56" i="2"/>
  <c r="K56" i="2"/>
  <c r="L56" i="2" s="1"/>
  <c r="J57" i="2"/>
  <c r="K57" i="2"/>
  <c r="L57" i="2" s="1"/>
  <c r="J58" i="2"/>
  <c r="K58" i="2"/>
  <c r="L58" i="2" s="1"/>
  <c r="J59" i="2"/>
  <c r="K59" i="2"/>
  <c r="L59" i="2" s="1"/>
  <c r="J60" i="2"/>
  <c r="K60" i="2"/>
  <c r="L60" i="2" s="1"/>
  <c r="J61" i="2"/>
  <c r="K61" i="2"/>
  <c r="L61" i="2" s="1"/>
  <c r="J62" i="2"/>
  <c r="K62" i="2"/>
  <c r="L62" i="2" s="1"/>
  <c r="J63" i="2"/>
  <c r="K63" i="2"/>
  <c r="L63" i="2" s="1"/>
  <c r="J64" i="2"/>
  <c r="K64" i="2"/>
  <c r="L64" i="2" s="1"/>
  <c r="J65" i="2"/>
  <c r="K65" i="2"/>
  <c r="L65" i="2" s="1"/>
  <c r="J66" i="2"/>
  <c r="K66" i="2"/>
  <c r="L66" i="2" s="1"/>
  <c r="J67" i="2"/>
  <c r="K67" i="2"/>
  <c r="L67" i="2" s="1"/>
  <c r="J68" i="2"/>
  <c r="K68" i="2"/>
  <c r="L68" i="2" s="1"/>
  <c r="J69" i="2"/>
  <c r="K69" i="2"/>
  <c r="L69" i="2" s="1"/>
  <c r="J70" i="2"/>
  <c r="K70" i="2"/>
  <c r="L70" i="2" s="1"/>
  <c r="J71" i="2"/>
  <c r="K71" i="2"/>
  <c r="L71" i="2" s="1"/>
  <c r="J72" i="2"/>
  <c r="K72" i="2"/>
  <c r="L72" i="2" s="1"/>
  <c r="J73" i="2"/>
  <c r="K73" i="2"/>
  <c r="L73" i="2" s="1"/>
  <c r="J74" i="2"/>
  <c r="K74" i="2"/>
  <c r="L74" i="2" s="1"/>
  <c r="J75" i="2"/>
  <c r="K75" i="2"/>
  <c r="L75" i="2" s="1"/>
  <c r="J76" i="2"/>
  <c r="K76" i="2"/>
  <c r="L76" i="2" s="1"/>
  <c r="J77" i="2"/>
  <c r="K77" i="2"/>
  <c r="L77" i="2" s="1"/>
  <c r="J78" i="2"/>
  <c r="K78" i="2"/>
  <c r="L78" i="2" s="1"/>
  <c r="J79" i="2"/>
  <c r="K79" i="2"/>
  <c r="L79" i="2" s="1"/>
  <c r="J80" i="2"/>
  <c r="K80" i="2"/>
  <c r="L80" i="2" s="1"/>
  <c r="J81" i="2"/>
  <c r="K81" i="2"/>
  <c r="L81" i="2" s="1"/>
  <c r="J82" i="2"/>
  <c r="K82" i="2"/>
  <c r="L82" i="2" s="1"/>
  <c r="J83" i="2"/>
  <c r="K83" i="2"/>
  <c r="L83" i="2" s="1"/>
  <c r="J84" i="2"/>
  <c r="K84" i="2"/>
  <c r="L84" i="2" s="1"/>
  <c r="J85" i="2"/>
  <c r="K85" i="2"/>
  <c r="L85" i="2" s="1"/>
  <c r="J86" i="2"/>
  <c r="K86" i="2"/>
  <c r="L86" i="2" s="1"/>
  <c r="J87" i="2"/>
  <c r="K87" i="2"/>
  <c r="L87" i="2" s="1"/>
  <c r="J88" i="2"/>
  <c r="K88" i="2"/>
  <c r="L88" i="2" s="1"/>
  <c r="J89" i="2"/>
  <c r="K89" i="2"/>
  <c r="L89" i="2" s="1"/>
  <c r="J90" i="2"/>
  <c r="K90" i="2"/>
  <c r="L90" i="2" s="1"/>
  <c r="J91" i="2"/>
  <c r="K91" i="2"/>
  <c r="L91" i="2" s="1"/>
  <c r="J92" i="2"/>
  <c r="K92" i="2"/>
  <c r="L92" i="2" s="1"/>
  <c r="J93" i="2"/>
  <c r="K93" i="2"/>
  <c r="L93" i="2" s="1"/>
  <c r="J94" i="2"/>
  <c r="K94" i="2"/>
  <c r="L94" i="2" s="1"/>
  <c r="J95" i="2"/>
  <c r="K95" i="2"/>
  <c r="L95" i="2" s="1"/>
  <c r="J96" i="2"/>
  <c r="K96" i="2"/>
  <c r="L96" i="2" s="1"/>
  <c r="J97" i="2"/>
  <c r="K97" i="2"/>
  <c r="L97" i="2" s="1"/>
  <c r="J98" i="2"/>
  <c r="K98" i="2"/>
  <c r="L98" i="2" s="1"/>
  <c r="J99" i="2"/>
  <c r="K99" i="2"/>
  <c r="L99" i="2" s="1"/>
  <c r="J100" i="2"/>
  <c r="K100" i="2"/>
  <c r="L100" i="2" s="1"/>
  <c r="J101" i="2"/>
  <c r="K101" i="2"/>
  <c r="L101" i="2" s="1"/>
  <c r="J102" i="2"/>
  <c r="K102" i="2"/>
  <c r="L102" i="2" s="1"/>
  <c r="J103" i="2"/>
  <c r="K103" i="2"/>
  <c r="L103" i="2" s="1"/>
  <c r="J104" i="2"/>
  <c r="K104" i="2"/>
  <c r="L104" i="2" s="1"/>
  <c r="J105" i="2"/>
  <c r="K105" i="2"/>
  <c r="L105" i="2" s="1"/>
  <c r="J106" i="2"/>
  <c r="K106" i="2"/>
  <c r="L106" i="2" s="1"/>
  <c r="J107" i="2"/>
  <c r="K107" i="2"/>
  <c r="L107" i="2" s="1"/>
  <c r="K108" i="2"/>
  <c r="L108" i="2" s="1"/>
  <c r="J109" i="2"/>
  <c r="K109" i="2"/>
  <c r="L109" i="2" s="1"/>
  <c r="J110" i="2"/>
  <c r="K110" i="2"/>
  <c r="L110" i="2" s="1"/>
  <c r="J111" i="2"/>
  <c r="K111" i="2"/>
  <c r="L111" i="2" s="1"/>
  <c r="J112" i="2"/>
  <c r="K112" i="2"/>
  <c r="L112" i="2"/>
  <c r="J8" i="11"/>
  <c r="I8" i="11"/>
  <c r="M2" i="1"/>
  <c r="N2" i="1"/>
  <c r="O2" i="1" s="1"/>
  <c r="M3" i="1"/>
  <c r="N3" i="1"/>
  <c r="O3" i="1" s="1"/>
  <c r="M4" i="1"/>
  <c r="N4" i="1"/>
  <c r="O4" i="1" s="1"/>
  <c r="M5" i="1"/>
  <c r="N5" i="1"/>
  <c r="O5" i="1" s="1"/>
  <c r="M6" i="1"/>
  <c r="N6" i="1"/>
  <c r="O6" i="1" s="1"/>
  <c r="M7" i="1"/>
  <c r="N7" i="1"/>
  <c r="O7" i="1" s="1"/>
  <c r="M8" i="1"/>
  <c r="N8" i="1"/>
  <c r="O8" i="1" s="1"/>
  <c r="M9" i="1"/>
  <c r="N9" i="1"/>
  <c r="O9" i="1"/>
  <c r="M10" i="1"/>
  <c r="N10" i="1"/>
  <c r="O10" i="1" s="1"/>
  <c r="M11" i="1"/>
  <c r="N11" i="1"/>
  <c r="O11" i="1" s="1"/>
  <c r="M12" i="1"/>
  <c r="N12" i="1"/>
  <c r="O12" i="1" s="1"/>
  <c r="M13" i="1"/>
  <c r="N13" i="1"/>
  <c r="O13" i="1"/>
  <c r="M14" i="1"/>
  <c r="O14" i="1"/>
  <c r="M15" i="1"/>
  <c r="N15" i="1"/>
  <c r="O15" i="1"/>
  <c r="M16" i="1"/>
  <c r="N16" i="1"/>
  <c r="O16" i="1"/>
  <c r="M17" i="1"/>
  <c r="N17" i="1"/>
  <c r="O17" i="1"/>
  <c r="M18" i="1"/>
  <c r="N18" i="1"/>
  <c r="O18" i="1"/>
  <c r="M19" i="1"/>
  <c r="N19" i="1"/>
  <c r="O19" i="1"/>
  <c r="M20" i="1"/>
  <c r="O20" i="1"/>
  <c r="M21" i="1"/>
  <c r="N21" i="1"/>
  <c r="O21" i="1"/>
  <c r="M22" i="1"/>
  <c r="N22" i="1"/>
  <c r="O22" i="1" s="1"/>
  <c r="M23" i="1"/>
  <c r="N23" i="1"/>
  <c r="O23" i="1"/>
  <c r="M24" i="1"/>
  <c r="N24" i="1"/>
  <c r="O24" i="1"/>
  <c r="M25" i="1"/>
  <c r="N25" i="1"/>
  <c r="O25" i="1" s="1"/>
  <c r="M26" i="1"/>
  <c r="N26" i="1"/>
  <c r="O26" i="1" s="1"/>
  <c r="M27" i="1"/>
  <c r="O27" i="1"/>
  <c r="M28" i="1"/>
  <c r="N28" i="1"/>
  <c r="O28" i="1" s="1"/>
  <c r="M29" i="1"/>
  <c r="N29" i="1"/>
  <c r="O29" i="1" s="1"/>
  <c r="M30" i="1"/>
  <c r="N30" i="1"/>
  <c r="O30" i="1" s="1"/>
  <c r="M31" i="1"/>
  <c r="O31" i="1"/>
  <c r="M32" i="1"/>
  <c r="N32" i="1"/>
  <c r="O32" i="1"/>
  <c r="M33" i="1"/>
  <c r="N33" i="1"/>
  <c r="O33" i="1" s="1"/>
  <c r="M34" i="1"/>
  <c r="N34" i="1"/>
  <c r="O34" i="1"/>
  <c r="M35" i="1"/>
  <c r="N35" i="1"/>
  <c r="O35" i="1"/>
  <c r="M36" i="1"/>
  <c r="N36" i="1"/>
  <c r="O36" i="1"/>
  <c r="M37" i="1"/>
  <c r="N37" i="1"/>
  <c r="O37" i="1" s="1"/>
  <c r="M38" i="1"/>
  <c r="N38" i="1"/>
  <c r="O38" i="1"/>
  <c r="M39" i="1"/>
  <c r="N39" i="1"/>
  <c r="O39" i="1" s="1"/>
  <c r="M40" i="1"/>
  <c r="N40" i="1"/>
  <c r="O40" i="1"/>
  <c r="M41" i="1"/>
  <c r="N41" i="1"/>
  <c r="O41" i="1" s="1"/>
  <c r="M43" i="1"/>
  <c r="N43" i="1"/>
  <c r="O43" i="1"/>
  <c r="M44" i="1"/>
  <c r="N44" i="1"/>
  <c r="O44" i="1" s="1"/>
  <c r="M45" i="1"/>
  <c r="N45" i="1"/>
  <c r="O45" i="1" s="1"/>
  <c r="M46" i="1"/>
  <c r="N46" i="1"/>
  <c r="O46" i="1" s="1"/>
  <c r="M47" i="1"/>
  <c r="L40" i="8"/>
  <c r="M40" i="8" s="1"/>
  <c r="J7" i="11"/>
  <c r="I7" i="11"/>
  <c r="J6" i="11"/>
  <c r="I6" i="11"/>
  <c r="K14" i="12"/>
  <c r="J14" i="12"/>
  <c r="L39" i="8"/>
  <c r="M39" i="8" s="1"/>
  <c r="K17" i="15"/>
  <c r="J17" i="15"/>
  <c r="S17" i="17"/>
  <c r="R19" i="17"/>
  <c r="S19" i="17" s="1"/>
  <c r="O19" i="17"/>
  <c r="Q19" i="17" s="1"/>
  <c r="M21" i="3"/>
  <c r="L21" i="3"/>
  <c r="M20" i="3"/>
  <c r="L20" i="3"/>
  <c r="L19" i="3"/>
  <c r="M19" i="3"/>
  <c r="M18" i="3"/>
  <c r="L18" i="3"/>
  <c r="R18" i="17"/>
  <c r="S18" i="17" s="1"/>
  <c r="O18" i="17"/>
  <c r="M17" i="3"/>
  <c r="L17" i="3"/>
  <c r="I2" i="19"/>
  <c r="J2" i="19" s="1"/>
  <c r="I3" i="19"/>
  <c r="J3" i="19"/>
  <c r="I4" i="19"/>
  <c r="J4" i="19"/>
  <c r="I5" i="19"/>
  <c r="J5" i="19"/>
  <c r="I6" i="19"/>
  <c r="J6" i="19"/>
  <c r="J16" i="15"/>
  <c r="K16" i="15" s="1"/>
  <c r="K15" i="15"/>
  <c r="J15" i="15"/>
  <c r="L35" i="8"/>
  <c r="M35" i="8" s="1"/>
  <c r="L36" i="8"/>
  <c r="M36" i="8" s="1"/>
  <c r="L37" i="8"/>
  <c r="M37" i="8" s="1"/>
  <c r="L38" i="8"/>
  <c r="M38" i="8" s="1"/>
  <c r="J85" i="4"/>
  <c r="K85" i="4" s="1"/>
  <c r="K84" i="4"/>
  <c r="J84" i="4"/>
  <c r="J2" i="4"/>
  <c r="K2" i="4" s="1"/>
  <c r="J3" i="4"/>
  <c r="K3" i="4" s="1"/>
  <c r="J4" i="4"/>
  <c r="K4" i="4" s="1"/>
  <c r="J5" i="4"/>
  <c r="K5" i="4" s="1"/>
  <c r="J6" i="4"/>
  <c r="K6" i="4" s="1"/>
  <c r="J7" i="4"/>
  <c r="K7" i="4" s="1"/>
  <c r="J8" i="4"/>
  <c r="K8" i="4" s="1"/>
  <c r="J9" i="4"/>
  <c r="K9" i="4" s="1"/>
  <c r="J10" i="4"/>
  <c r="K10" i="4" s="1"/>
  <c r="J11" i="4"/>
  <c r="K11" i="4" s="1"/>
  <c r="J12" i="4"/>
  <c r="K12" i="4"/>
  <c r="J13" i="4"/>
  <c r="K13" i="4" s="1"/>
  <c r="J14" i="4"/>
  <c r="K14" i="4" s="1"/>
  <c r="J15" i="4"/>
  <c r="K15" i="4" s="1"/>
  <c r="J16" i="4"/>
  <c r="K16" i="4" s="1"/>
  <c r="J17" i="4"/>
  <c r="K17" i="4" s="1"/>
  <c r="J18" i="4"/>
  <c r="K18" i="4"/>
  <c r="J19" i="4"/>
  <c r="K19" i="4" s="1"/>
  <c r="J20" i="4"/>
  <c r="K20" i="4" s="1"/>
  <c r="J21" i="4"/>
  <c r="K21" i="4" s="1"/>
  <c r="J22" i="4"/>
  <c r="K22" i="4" s="1"/>
  <c r="J23" i="4"/>
  <c r="K23" i="4" s="1"/>
  <c r="J24" i="4"/>
  <c r="K24" i="4" s="1"/>
  <c r="J25" i="4"/>
  <c r="K25" i="4" s="1"/>
  <c r="J26" i="4"/>
  <c r="K26" i="4" s="1"/>
  <c r="J27" i="4"/>
  <c r="K27" i="4" s="1"/>
  <c r="J28" i="4"/>
  <c r="K28" i="4" s="1"/>
  <c r="J29" i="4"/>
  <c r="K29" i="4" s="1"/>
  <c r="J30" i="4"/>
  <c r="K30" i="4" s="1"/>
  <c r="J31" i="4"/>
  <c r="K31" i="4" s="1"/>
  <c r="J32" i="4"/>
  <c r="K32" i="4" s="1"/>
  <c r="J33" i="4"/>
  <c r="K33" i="4" s="1"/>
  <c r="J34" i="4"/>
  <c r="K34" i="4" s="1"/>
  <c r="J35" i="4"/>
  <c r="K35" i="4" s="1"/>
  <c r="J36" i="4"/>
  <c r="K36" i="4" s="1"/>
  <c r="J37" i="4"/>
  <c r="K37" i="4" s="1"/>
  <c r="J38" i="4"/>
  <c r="K38" i="4" s="1"/>
  <c r="J39" i="4"/>
  <c r="K39" i="4" s="1"/>
  <c r="J40" i="4"/>
  <c r="K40" i="4" s="1"/>
  <c r="J41" i="4"/>
  <c r="K41" i="4" s="1"/>
  <c r="J42" i="4"/>
  <c r="K42" i="4" s="1"/>
  <c r="J43" i="4"/>
  <c r="K43" i="4" s="1"/>
  <c r="J44" i="4"/>
  <c r="K44" i="4" s="1"/>
  <c r="J45" i="4"/>
  <c r="K45" i="4" s="1"/>
  <c r="J46" i="4"/>
  <c r="K46" i="4" s="1"/>
  <c r="J47" i="4"/>
  <c r="K47" i="4" s="1"/>
  <c r="J48" i="4"/>
  <c r="K48" i="4" s="1"/>
  <c r="J49" i="4"/>
  <c r="K49" i="4" s="1"/>
  <c r="J50" i="4"/>
  <c r="K50" i="4" s="1"/>
  <c r="J51" i="4"/>
  <c r="K51" i="4" s="1"/>
  <c r="J52" i="4"/>
  <c r="K52" i="4" s="1"/>
  <c r="J53" i="4"/>
  <c r="K53" i="4" s="1"/>
  <c r="J54" i="4"/>
  <c r="K54" i="4" s="1"/>
  <c r="J55" i="4"/>
  <c r="K55" i="4" s="1"/>
  <c r="J56" i="4"/>
  <c r="K56" i="4" s="1"/>
  <c r="J57" i="4"/>
  <c r="K57" i="4" s="1"/>
  <c r="J58" i="4"/>
  <c r="K58" i="4" s="1"/>
  <c r="J59" i="4"/>
  <c r="K59" i="4" s="1"/>
  <c r="J60" i="4"/>
  <c r="K60" i="4" s="1"/>
  <c r="J61" i="4"/>
  <c r="K61" i="4" s="1"/>
  <c r="J62" i="4"/>
  <c r="K62" i="4" s="1"/>
  <c r="J63" i="4"/>
  <c r="K63" i="4" s="1"/>
  <c r="J64" i="4"/>
  <c r="K64" i="4" s="1"/>
  <c r="J65" i="4"/>
  <c r="K65" i="4" s="1"/>
  <c r="J66" i="4"/>
  <c r="K66" i="4"/>
  <c r="J67" i="4"/>
  <c r="K67" i="4" s="1"/>
  <c r="J68" i="4"/>
  <c r="K68" i="4" s="1"/>
  <c r="J69" i="4"/>
  <c r="K69" i="4" s="1"/>
  <c r="J70" i="4"/>
  <c r="K70" i="4" s="1"/>
  <c r="J71" i="4"/>
  <c r="K71" i="4" s="1"/>
  <c r="J72" i="4"/>
  <c r="K72" i="4"/>
  <c r="J73" i="4"/>
  <c r="K73" i="4" s="1"/>
  <c r="J74" i="4"/>
  <c r="K74" i="4" s="1"/>
  <c r="J75" i="4"/>
  <c r="K75" i="4" s="1"/>
  <c r="J76" i="4"/>
  <c r="K76" i="4" s="1"/>
  <c r="J77" i="4"/>
  <c r="K77" i="4" s="1"/>
  <c r="J78" i="4"/>
  <c r="K78" i="4"/>
  <c r="J79" i="4"/>
  <c r="K79" i="4" s="1"/>
  <c r="J80" i="4"/>
  <c r="K80" i="4" s="1"/>
  <c r="J81" i="4"/>
  <c r="K81" i="4" s="1"/>
  <c r="J82" i="4"/>
  <c r="K82" i="4" s="1"/>
  <c r="J83" i="4"/>
  <c r="K83" i="4" s="1"/>
  <c r="O17" i="17"/>
  <c r="Q17" i="17" s="1"/>
  <c r="K37" i="13"/>
  <c r="J37" i="13"/>
  <c r="J2" i="13"/>
  <c r="K2" i="13" s="1"/>
  <c r="J3" i="13"/>
  <c r="K3" i="13" s="1"/>
  <c r="J4" i="13"/>
  <c r="K4" i="13"/>
  <c r="J5" i="13"/>
  <c r="K5" i="13"/>
  <c r="J6" i="13"/>
  <c r="K6" i="13"/>
  <c r="J7" i="13"/>
  <c r="K7" i="13" s="1"/>
  <c r="J8" i="13"/>
  <c r="K8" i="13" s="1"/>
  <c r="J9" i="13"/>
  <c r="K9" i="13" s="1"/>
  <c r="J10" i="13"/>
  <c r="K10" i="13" s="1"/>
  <c r="J11" i="13"/>
  <c r="K11" i="13" s="1"/>
  <c r="J12" i="13"/>
  <c r="K12" i="13" s="1"/>
  <c r="J13" i="13"/>
  <c r="K13" i="13" s="1"/>
  <c r="J14" i="13"/>
  <c r="K14" i="13" s="1"/>
  <c r="J15" i="13"/>
  <c r="K15" i="13" s="1"/>
  <c r="J16" i="13"/>
  <c r="K16" i="13"/>
  <c r="J17" i="13"/>
  <c r="K17" i="13"/>
  <c r="J18" i="13"/>
  <c r="K18" i="13"/>
  <c r="J19" i="13"/>
  <c r="K19" i="13" s="1"/>
  <c r="J20" i="13"/>
  <c r="K20" i="13" s="1"/>
  <c r="J21" i="13"/>
  <c r="K21" i="13" s="1"/>
  <c r="J22" i="13"/>
  <c r="K22" i="13"/>
  <c r="J23" i="13"/>
  <c r="K23" i="13"/>
  <c r="J24" i="13"/>
  <c r="K24" i="13"/>
  <c r="J25" i="13"/>
  <c r="K25" i="13" s="1"/>
  <c r="J26" i="13"/>
  <c r="K26" i="13" s="1"/>
  <c r="J27" i="13"/>
  <c r="K27" i="13" s="1"/>
  <c r="J28" i="13"/>
  <c r="K28" i="13"/>
  <c r="J29" i="13"/>
  <c r="K29" i="13"/>
  <c r="J30" i="13"/>
  <c r="K30" i="13"/>
  <c r="J31" i="13"/>
  <c r="K31" i="13" s="1"/>
  <c r="J32" i="13"/>
  <c r="K32" i="13" s="1"/>
  <c r="J33" i="13"/>
  <c r="K33" i="13" s="1"/>
  <c r="J34" i="13"/>
  <c r="K34" i="13" s="1"/>
  <c r="J35" i="13"/>
  <c r="K35" i="13" s="1"/>
  <c r="J36" i="13"/>
  <c r="K36" i="13" s="1"/>
  <c r="L2" i="8"/>
  <c r="M2" i="8" s="1"/>
  <c r="L3" i="8"/>
  <c r="M3" i="8" s="1"/>
  <c r="L4" i="8"/>
  <c r="M4" i="8" s="1"/>
  <c r="L5" i="8"/>
  <c r="M5" i="8" s="1"/>
  <c r="L6" i="8"/>
  <c r="M6" i="8" s="1"/>
  <c r="L7" i="8"/>
  <c r="M7" i="8" s="1"/>
  <c r="L8" i="8"/>
  <c r="M8" i="8" s="1"/>
  <c r="L9" i="8"/>
  <c r="M9" i="8"/>
  <c r="L10" i="8"/>
  <c r="M10" i="8" s="1"/>
  <c r="L11" i="8"/>
  <c r="M11" i="8" s="1"/>
  <c r="L12" i="8"/>
  <c r="M12" i="8" s="1"/>
  <c r="L13" i="8"/>
  <c r="M13" i="8" s="1"/>
  <c r="L14" i="8"/>
  <c r="M14" i="8" s="1"/>
  <c r="L15" i="8"/>
  <c r="M15" i="8" s="1"/>
  <c r="L16" i="8"/>
  <c r="M16" i="8" s="1"/>
  <c r="L17" i="8"/>
  <c r="M17" i="8" s="1"/>
  <c r="L18" i="8"/>
  <c r="M18" i="8" s="1"/>
  <c r="L19" i="8"/>
  <c r="M19" i="8" s="1"/>
  <c r="L20" i="8"/>
  <c r="L21" i="8"/>
  <c r="M21" i="8" s="1"/>
  <c r="L22" i="8"/>
  <c r="M22" i="8" s="1"/>
  <c r="L23" i="8"/>
  <c r="M23" i="8"/>
  <c r="L24" i="8"/>
  <c r="M24" i="8"/>
  <c r="L25" i="8"/>
  <c r="M25" i="8" s="1"/>
  <c r="L26" i="8"/>
  <c r="M26" i="8" s="1"/>
  <c r="L27" i="8"/>
  <c r="M27" i="8" s="1"/>
  <c r="L28" i="8"/>
  <c r="M28" i="8" s="1"/>
  <c r="L29" i="8"/>
  <c r="M29" i="8" s="1"/>
  <c r="L30" i="8"/>
  <c r="M30" i="8" s="1"/>
  <c r="M31" i="8"/>
  <c r="L32" i="8"/>
  <c r="M32" i="8" s="1"/>
  <c r="L33" i="8"/>
  <c r="M33" i="8" s="1"/>
  <c r="L34" i="8"/>
  <c r="M34" i="8" s="1"/>
  <c r="J13" i="12"/>
  <c r="K13" i="12" s="1"/>
  <c r="K14" i="15"/>
  <c r="J14" i="15"/>
  <c r="K13" i="15"/>
  <c r="J13" i="15"/>
  <c r="K12" i="15"/>
  <c r="J12" i="15"/>
  <c r="J2" i="15"/>
  <c r="K2" i="15" s="1"/>
  <c r="J3" i="15"/>
  <c r="K3" i="15" s="1"/>
  <c r="J4" i="15"/>
  <c r="K4" i="15" s="1"/>
  <c r="J5" i="15"/>
  <c r="K5" i="15" s="1"/>
  <c r="J6" i="15"/>
  <c r="K6" i="15" s="1"/>
  <c r="J7" i="15"/>
  <c r="K7" i="15" s="1"/>
  <c r="J8" i="15"/>
  <c r="K8" i="15" s="1"/>
  <c r="J9" i="15"/>
  <c r="K9" i="15" s="1"/>
  <c r="J10" i="15"/>
  <c r="K10" i="15" s="1"/>
  <c r="J11" i="15"/>
  <c r="K11" i="15" s="1"/>
  <c r="I5" i="16"/>
  <c r="I6" i="16"/>
  <c r="H5" i="16"/>
  <c r="H6" i="16"/>
  <c r="H4" i="16"/>
  <c r="Q18" i="17" l="1"/>
  <c r="I2" i="6"/>
  <c r="J2" i="6" s="1"/>
  <c r="I2" i="18"/>
  <c r="J2" i="18" s="1"/>
  <c r="J12" i="12"/>
  <c r="K12" i="12" s="1"/>
  <c r="J11" i="12"/>
  <c r="K11" i="12" s="1"/>
  <c r="J10" i="12"/>
  <c r="K10" i="12" s="1"/>
  <c r="J9" i="12"/>
  <c r="K9" i="12" s="1"/>
  <c r="J8" i="12"/>
  <c r="K8" i="12" s="1"/>
  <c r="J7" i="12"/>
  <c r="K7" i="12" s="1"/>
  <c r="J6" i="12"/>
  <c r="K6" i="12" s="1"/>
  <c r="J5" i="12"/>
  <c r="K5" i="12" s="1"/>
  <c r="J4" i="12"/>
  <c r="K4" i="12" s="1"/>
  <c r="J3" i="12"/>
  <c r="K3" i="12" s="1"/>
  <c r="J2" i="12"/>
  <c r="K2" i="12" s="1"/>
  <c r="I23" i="6"/>
  <c r="J23" i="6" s="1"/>
  <c r="I21" i="6"/>
  <c r="J21" i="6" s="1"/>
  <c r="I20" i="6"/>
  <c r="J20" i="6" s="1"/>
  <c r="I19" i="6"/>
  <c r="J19" i="6" s="1"/>
  <c r="I18" i="6"/>
  <c r="J18" i="6" s="1"/>
  <c r="I17" i="6"/>
  <c r="J17" i="6" s="1"/>
  <c r="I16" i="6"/>
  <c r="J16" i="6" s="1"/>
  <c r="I15" i="6"/>
  <c r="J15" i="6" s="1"/>
  <c r="I14" i="6"/>
  <c r="J14" i="6" s="1"/>
  <c r="I13" i="6"/>
  <c r="J13" i="6" s="1"/>
  <c r="I12" i="6"/>
  <c r="J12" i="6" s="1"/>
  <c r="I11" i="6"/>
  <c r="J11" i="6" s="1"/>
  <c r="I10" i="6"/>
  <c r="J10" i="6" s="1"/>
  <c r="I9" i="6"/>
  <c r="J9" i="6" s="1"/>
  <c r="I8" i="6"/>
  <c r="J8" i="6" s="1"/>
  <c r="I7" i="6"/>
  <c r="J7" i="6" s="1"/>
  <c r="I6" i="6"/>
  <c r="J6" i="6" s="1"/>
  <c r="I5" i="6"/>
  <c r="J5" i="6" s="1"/>
  <c r="I4" i="6"/>
  <c r="J4" i="6" s="1"/>
  <c r="J3" i="6"/>
  <c r="I3" i="6"/>
  <c r="I5" i="11"/>
  <c r="J5" i="11" s="1"/>
  <c r="I4" i="11"/>
  <c r="J4" i="11" s="1"/>
  <c r="I3" i="11"/>
  <c r="J3" i="11" s="1"/>
  <c r="I2" i="11"/>
  <c r="J2" i="11" s="1"/>
  <c r="K26" i="5"/>
  <c r="J26" i="5"/>
  <c r="J25" i="5"/>
  <c r="K25" i="5" s="1"/>
  <c r="J24" i="5"/>
  <c r="K24" i="5" s="1"/>
  <c r="J23" i="5"/>
  <c r="K23" i="5" s="1"/>
  <c r="J22" i="5"/>
  <c r="K22" i="5" s="1"/>
  <c r="J21" i="5"/>
  <c r="K21" i="5" s="1"/>
  <c r="K20" i="5"/>
  <c r="J20" i="5"/>
  <c r="J19" i="5"/>
  <c r="K19" i="5" s="1"/>
  <c r="J18" i="5"/>
  <c r="K18" i="5" s="1"/>
  <c r="J17" i="5"/>
  <c r="K17" i="5" s="1"/>
  <c r="K16" i="5"/>
  <c r="K15" i="5"/>
  <c r="J14" i="5"/>
  <c r="K14" i="5" s="1"/>
  <c r="K13" i="5"/>
  <c r="J13" i="5"/>
  <c r="J12" i="5"/>
  <c r="K12" i="5" s="1"/>
  <c r="J11" i="5"/>
  <c r="K11" i="5" s="1"/>
  <c r="J10" i="5"/>
  <c r="K10" i="5" s="1"/>
  <c r="J9" i="5"/>
  <c r="K9" i="5" s="1"/>
  <c r="J8" i="5"/>
  <c r="K8" i="5" s="1"/>
  <c r="K7" i="5"/>
  <c r="J7" i="5"/>
  <c r="J6" i="5"/>
  <c r="K6" i="5" s="1"/>
  <c r="J5" i="5"/>
  <c r="K5" i="5" s="1"/>
  <c r="J4" i="5"/>
  <c r="K4" i="5" s="1"/>
  <c r="J3" i="5"/>
  <c r="K3" i="5" s="1"/>
  <c r="J2" i="5"/>
  <c r="K2" i="5" s="1"/>
  <c r="I4" i="16"/>
  <c r="H3" i="16"/>
  <c r="I3" i="16" s="1"/>
  <c r="H2" i="16"/>
  <c r="I2" i="16" s="1"/>
  <c r="M16" i="3"/>
  <c r="L16" i="3"/>
  <c r="L15" i="3"/>
  <c r="M15" i="3" s="1"/>
  <c r="L14" i="3"/>
  <c r="M14" i="3" s="1"/>
  <c r="L13" i="3"/>
  <c r="M13" i="3" s="1"/>
  <c r="L12" i="3"/>
  <c r="M12" i="3" s="1"/>
  <c r="L11" i="3"/>
  <c r="M11" i="3" s="1"/>
  <c r="M10" i="3"/>
  <c r="L10" i="3"/>
  <c r="L9" i="3"/>
  <c r="M9" i="3" s="1"/>
  <c r="L8" i="3"/>
  <c r="M8" i="3" s="1"/>
  <c r="L7" i="3"/>
  <c r="M7" i="3" s="1"/>
  <c r="L6" i="3"/>
  <c r="M6" i="3" s="1"/>
  <c r="L5" i="3"/>
  <c r="M5" i="3" s="1"/>
  <c r="M4" i="3"/>
  <c r="L4" i="3"/>
  <c r="L3" i="3"/>
  <c r="M3" i="3" s="1"/>
  <c r="L2" i="3"/>
  <c r="M2" i="3" s="1"/>
  <c r="R16" i="17"/>
  <c r="S16" i="17" s="1"/>
  <c r="O16" i="17"/>
  <c r="R15" i="17"/>
  <c r="S15" i="17" s="1"/>
  <c r="O15" i="17"/>
  <c r="R14" i="17"/>
  <c r="S14" i="17" s="1"/>
  <c r="O14" i="17"/>
  <c r="R13" i="17"/>
  <c r="S13" i="17" s="1"/>
  <c r="O13" i="17"/>
  <c r="R12" i="17"/>
  <c r="S12" i="17" s="1"/>
  <c r="O12" i="17"/>
  <c r="R11" i="17"/>
  <c r="S11" i="17" s="1"/>
  <c r="O11" i="17"/>
  <c r="R10" i="17"/>
  <c r="S10" i="17" s="1"/>
  <c r="O10" i="17"/>
  <c r="R9" i="17"/>
  <c r="S9" i="17" s="1"/>
  <c r="O9" i="17"/>
  <c r="R8" i="17"/>
  <c r="S8" i="17" s="1"/>
  <c r="O8" i="17"/>
  <c r="R7" i="17"/>
  <c r="S7" i="17" s="1"/>
  <c r="O7" i="17"/>
  <c r="S6" i="17"/>
  <c r="O6" i="17"/>
  <c r="R5" i="17"/>
  <c r="S5" i="17" s="1"/>
  <c r="O5" i="17"/>
  <c r="R4" i="17"/>
  <c r="S4" i="17" s="1"/>
  <c r="O4" i="17"/>
  <c r="R3" i="17"/>
  <c r="S3" i="17" s="1"/>
  <c r="O3" i="17"/>
  <c r="S2" i="17"/>
  <c r="O2" i="17"/>
  <c r="Q16" i="17" l="1"/>
  <c r="Q3" i="17"/>
  <c r="Q6" i="17"/>
  <c r="Q12" i="17"/>
  <c r="Q9" i="17"/>
  <c r="Q15" i="17"/>
  <c r="Q4" i="17"/>
  <c r="Q5" i="17"/>
  <c r="Q10" i="17"/>
  <c r="Q11" i="17"/>
  <c r="Q7" i="17"/>
  <c r="Q13" i="17"/>
  <c r="Q14" i="17"/>
  <c r="Q2" i="17"/>
  <c r="Q8" i="17"/>
</calcChain>
</file>

<file path=xl/sharedStrings.xml><?xml version="1.0" encoding="utf-8"?>
<sst xmlns="http://schemas.openxmlformats.org/spreadsheetml/2006/main" count="4434" uniqueCount="1608">
  <si>
    <t>Part Number</t>
  </si>
  <si>
    <t>Description</t>
  </si>
  <si>
    <t>Manufacturer</t>
  </si>
  <si>
    <t>Package</t>
  </si>
  <si>
    <t>Value</t>
  </si>
  <si>
    <t>Voltage_V</t>
  </si>
  <si>
    <t>Dielectric_Class</t>
  </si>
  <si>
    <t>Tolerance</t>
  </si>
  <si>
    <t>Type</t>
  </si>
  <si>
    <t>Library Path</t>
  </si>
  <si>
    <t>Library Ref</t>
  </si>
  <si>
    <t>Footprint Path 1</t>
  </si>
  <si>
    <t>Footprint Ref 1</t>
  </si>
  <si>
    <t>Footprint Path 2</t>
  </si>
  <si>
    <t>Footprint Ref 2</t>
  </si>
  <si>
    <t>UID</t>
  </si>
  <si>
    <t>PnP_name</t>
  </si>
  <si>
    <t>GRM1555C1H103JE01</t>
  </si>
  <si>
    <t>10nF ±5% 50V C0G 0402 Multilayer Ceramic Capacitor</t>
  </si>
  <si>
    <t>0402</t>
  </si>
  <si>
    <t>0.01uF</t>
  </si>
  <si>
    <t>NP0</t>
  </si>
  <si>
    <t>±5%</t>
  </si>
  <si>
    <t>Ceramic</t>
  </si>
  <si>
    <t>./symbols/passive/cap.schlib</t>
  </si>
  <si>
    <t>CAP</t>
  </si>
  <si>
    <t>./footprints/passive/cap.pcblib</t>
  </si>
  <si>
    <t>GCM155R71C683MA55D</t>
  </si>
  <si>
    <t>0.068uF±10% 50V X7R 0402 Multilayer Ceramic Capacitor</t>
  </si>
  <si>
    <t>0.068uF</t>
  </si>
  <si>
    <t>X7R</t>
  </si>
  <si>
    <t>±20%</t>
  </si>
  <si>
    <t>GRM155R71C104KA88</t>
  </si>
  <si>
    <t>0.1uF</t>
  </si>
  <si>
    <t>±10%</t>
  </si>
  <si>
    <t>GRM155R61H104KE19</t>
  </si>
  <si>
    <t>Ceramic Chip Capacitor 0402 X5R 100nF ±10% 50V</t>
  </si>
  <si>
    <t>X5R</t>
  </si>
  <si>
    <t>GRM155R61C104KA88D</t>
  </si>
  <si>
    <t>0.1µF ±10% 16V X5R 0402 Multilayer Ceramic Capacitor</t>
  </si>
  <si>
    <t>GRM155R61C224ME01D</t>
  </si>
  <si>
    <t>0.47µF ±20% 16V X5R 0402 Multilayer Ceramic Capacitor</t>
  </si>
  <si>
    <t>0.22uF</t>
  </si>
  <si>
    <t>C2220C474J5GACTU</t>
  </si>
  <si>
    <t>0.47µF ±5% 50V C0G 2220 Multilayer Ceramic Capacitor</t>
  </si>
  <si>
    <t>KEMET</t>
  </si>
  <si>
    <t>0.47uF</t>
  </si>
  <si>
    <t>GRM155R61C474ME01D</t>
  </si>
  <si>
    <t>GRM1555C1H102JA01</t>
  </si>
  <si>
    <t>Ceramic Chip Capacitor 0402 NP0 1000pF ±5% 50V</t>
  </si>
  <si>
    <t>1000pF</t>
  </si>
  <si>
    <t>GRM1555C1H101GA01</t>
  </si>
  <si>
    <t>100pF ±2% 50V C0G 0402 Multilayer Ceramic Capacitor</t>
  </si>
  <si>
    <t>100pF</t>
  </si>
  <si>
    <t>±2%</t>
  </si>
  <si>
    <t>GRM1555C1H100JA01D</t>
  </si>
  <si>
    <t>10pF ±5% 50V C0G 0402 Multilayer Ceramic Capacitor</t>
  </si>
  <si>
    <t>10pF</t>
  </si>
  <si>
    <t>GRM21BR61H106KE43</t>
  </si>
  <si>
    <t>Ceramic Chip Capacitor 0805 X5R 10µF ±10% 50V</t>
  </si>
  <si>
    <t>0805</t>
  </si>
  <si>
    <t>10uF</t>
  </si>
  <si>
    <t>T491A106K010AT</t>
  </si>
  <si>
    <t>10µF ±10% 10V Tantalum SMD Capacitor, 1206 Package, ESR 3.8Ω, Operating Temperature -55°C to +125°C</t>
  </si>
  <si>
    <t>CAP-ELECTROLYTIC</t>
  </si>
  <si>
    <t>C-A-10-10uF K</t>
  </si>
  <si>
    <t>GRJ155R60J106ME11</t>
  </si>
  <si>
    <t>Ceramic Chip Capacitor 0402 X5R 10µF ±10% 6V3</t>
  </si>
  <si>
    <t>6.3</t>
  </si>
  <si>
    <t>GRM155R71H152JA01D</t>
  </si>
  <si>
    <t>1.5nF ±5% 50V X7R 0402 Multilayer Ceramic Capacitor</t>
  </si>
  <si>
    <t>1500pF</t>
  </si>
  <si>
    <t>GCG155R71H182KA01D</t>
  </si>
  <si>
    <t>1800pF±10% 50V X7R 0402 Multilayer Ceramic Capacitor</t>
  </si>
  <si>
    <t>1800pF</t>
  </si>
  <si>
    <t>GRM155R61E105MA12D</t>
  </si>
  <si>
    <t>1uF ±20% 25V X5R 0402 Multilayer Ceramic Capacitor</t>
  </si>
  <si>
    <t>1uF</t>
  </si>
  <si>
    <t>GRM155R71H222KA01D</t>
  </si>
  <si>
    <t>2,2nF ±10% 50V X7R 0402 Multilayer Ceramic Capacitor</t>
  </si>
  <si>
    <t>2200pF</t>
  </si>
  <si>
    <t>UUD1H221MNL1GS</t>
  </si>
  <si>
    <t>220µF ±20% 50V SMD Aluminum Electrolytic Capacitor</t>
  </si>
  <si>
    <t>Nichicon</t>
  </si>
  <si>
    <t>10x10</t>
  </si>
  <si>
    <t>220uF</t>
  </si>
  <si>
    <t>Aluminum</t>
  </si>
  <si>
    <t>C-UUD1H221MNL1GS</t>
  </si>
  <si>
    <t>CM105X5R226M16AT</t>
  </si>
  <si>
    <t>22uF ± 20% 16V X5R 0603 Multilayer Ceramic Capacitor</t>
  </si>
  <si>
    <t>0603</t>
  </si>
  <si>
    <t>22uF</t>
  </si>
  <si>
    <t>GRM155R71H332KA01D</t>
  </si>
  <si>
    <t>3,3nF ±10% 50V X7R 0402 Multilayer Ceramic Capacitor</t>
  </si>
  <si>
    <t>3300pF</t>
  </si>
  <si>
    <t>GRM1555C1H391JA01D</t>
  </si>
  <si>
    <t>390pF±5% 50V C0G Multilayer Ceramic Capacitor</t>
  </si>
  <si>
    <t>390pF</t>
  </si>
  <si>
    <t>GRM1555C1H390JA01D</t>
  </si>
  <si>
    <t>39pF ±5% 50V C0G 0402 Multilayer Ceramic Capacitor</t>
  </si>
  <si>
    <t>39pF</t>
  </si>
  <si>
    <t>GRM155R71H472KA01D</t>
  </si>
  <si>
    <t>4,7nF ±10% 50V X7R 0402 Multilayer Ceramic Capacitor</t>
  </si>
  <si>
    <t>4700pF</t>
  </si>
  <si>
    <t>GRM188R60J476ME01J</t>
  </si>
  <si>
    <t>47uF ± 20% 6,3V X5R 0603 Multilayer Ceramic Capacitor</t>
  </si>
  <si>
    <t>47uF</t>
  </si>
  <si>
    <t>UUD1V680MCL1GS</t>
  </si>
  <si>
    <t>68µF ±20% 35V SMD Aluminum Electrolytic Capacitor</t>
  </si>
  <si>
    <t>6.3x7.7</t>
  </si>
  <si>
    <t>68uF</t>
  </si>
  <si>
    <t>C-UUD1V680MCL1GS</t>
  </si>
  <si>
    <t>GRM155R71H822KA88D</t>
  </si>
  <si>
    <t>8.2nF ±10% 50V X7R 0402 Multilayer Ceramic Capacitor</t>
  </si>
  <si>
    <t>8200pF</t>
  </si>
  <si>
    <t>GRM31CR60J107KE9L</t>
  </si>
  <si>
    <t>100uF ± 10% 6V3 X5R 1206 Multilayer Ceramic Capacitor</t>
  </si>
  <si>
    <t>100uF</t>
  </si>
  <si>
    <t>GRM32ER71E226KE15L</t>
  </si>
  <si>
    <t>22uF ± 10% 25V X7R 1210 Multilayer Ceramic Capacitor</t>
  </si>
  <si>
    <t>GRM1555C1H4R7WA01D</t>
  </si>
  <si>
    <t>4.7pF ±0.05pF 50V C0G 0402 Multilayer Ceramic Capacitor</t>
  </si>
  <si>
    <t>4.7pF</t>
  </si>
  <si>
    <t>±0,1pF</t>
  </si>
  <si>
    <t>C-0402-NP0-50-4.7pF B</t>
  </si>
  <si>
    <t>GRM155R61A106ME11D</t>
  </si>
  <si>
    <t>10uF ±20% 10V X5R 0402 Multilayer Ceramic Capacitor</t>
  </si>
  <si>
    <t>GRM033R61E104KE14J</t>
  </si>
  <si>
    <t>0.1uF±10% 25V X5R 0201 Multilayer Ceramic Capacitor</t>
  </si>
  <si>
    <t>0201</t>
  </si>
  <si>
    <t>GCM155R71C223MA55D</t>
  </si>
  <si>
    <t>0.022uF±10% 50V X7R 0402 Multilayer Ceramic Capacitor</t>
  </si>
  <si>
    <t>0.022uF</t>
  </si>
  <si>
    <t>GRM033R61A105ME15J</t>
  </si>
  <si>
    <t>Multilayer Ceramic Capacitors MLCC - SMD/SMT 1 uF 10 VDC 20% 0201 X5R</t>
  </si>
  <si>
    <t>GRM035R60J475ME15D</t>
  </si>
  <si>
    <t>Multilayer Ceramic Capacitors MLCC - SMD/SMT 4.7 uF 6,3 VDC 20% 0201 X5R</t>
  </si>
  <si>
    <t>4.7uF</t>
  </si>
  <si>
    <t>GRM155R61A475MEAAD</t>
  </si>
  <si>
    <t>Multilayer Ceramic Capacitors MLCC - SMD/SMT 4.7 uF 10 VDC 20% 0402 X5R</t>
  </si>
  <si>
    <t>CC0603JRNPO9BN182</t>
  </si>
  <si>
    <t>CAP CER 1800PF 50V C0G/NPO 0603</t>
  </si>
  <si>
    <t>YAGEO</t>
  </si>
  <si>
    <t>C0805V123KCRACTU</t>
  </si>
  <si>
    <t>CAP CER 0.012UF 25V C0G/NP0 0603</t>
  </si>
  <si>
    <t>0.012uF</t>
  </si>
  <si>
    <t>GRM31C5C1E334JE01L</t>
  </si>
  <si>
    <t>CAP CER 0.33UF 25V C0G/NP0 1206</t>
  </si>
  <si>
    <t>0.33uF</t>
  </si>
  <si>
    <t>GRM1555C1H131JA01D</t>
  </si>
  <si>
    <t>130pF±5% 50V C0G Multilayer Ceramic Capacitor</t>
  </si>
  <si>
    <t>130pF</t>
  </si>
  <si>
    <t>SRF</t>
  </si>
  <si>
    <t>ComponentClass</t>
  </si>
  <si>
    <t>Vin</t>
  </si>
  <si>
    <t>Vout</t>
  </si>
  <si>
    <t>Footprint Path</t>
  </si>
  <si>
    <t>Footprint Ref</t>
  </si>
  <si>
    <t>PnP_Name</t>
  </si>
  <si>
    <t>ADM7150ACPZ-3.3</t>
  </si>
  <si>
    <t>Analog Devices</t>
  </si>
  <si>
    <t>LFCSP-8</t>
  </si>
  <si>
    <t>4.5 to 16</t>
  </si>
  <si>
    <t>3.3</t>
  </si>
  <si>
    <t>LDO</t>
  </si>
  <si>
    <t>./symbols/IC/Power/LDO.SchLib</t>
  </si>
  <si>
    <t>./footprints/IC/IC.PcbLib</t>
  </si>
  <si>
    <t>CP-8-21</t>
  </si>
  <si>
    <t>ADM7154ACPZ-1.8-R7</t>
  </si>
  <si>
    <t>2.3 to 5.5</t>
  </si>
  <si>
    <t>1.8</t>
  </si>
  <si>
    <t>ADM7154ACPZ-1.8</t>
  </si>
  <si>
    <t>ADM7170ACPZ-R7</t>
  </si>
  <si>
    <t>2.3 to 6.5</t>
  </si>
  <si>
    <t>1.2 to 6</t>
  </si>
  <si>
    <t>ADM7172ACPZ</t>
  </si>
  <si>
    <t>ADM7172ACPZ-R7</t>
  </si>
  <si>
    <t>ADP151AUJZ-1.8</t>
  </si>
  <si>
    <t>TSOT-23-5</t>
  </si>
  <si>
    <t>2.2 to 5.5</t>
  </si>
  <si>
    <t>ADP151AUJZ-2.5</t>
  </si>
  <si>
    <t>SOT23-5</t>
  </si>
  <si>
    <t>2.5</t>
  </si>
  <si>
    <t>ADP1763ACPZ</t>
  </si>
  <si>
    <t>LFCSP-16</t>
  </si>
  <si>
    <t>1.1 to 1.98</t>
  </si>
  <si>
    <t>0.9 to 1.5</t>
  </si>
  <si>
    <t>ADP2166ACPZ-1.0-R7</t>
  </si>
  <si>
    <t>LFCSP-24</t>
  </si>
  <si>
    <t>2.7 to 5.5</t>
  </si>
  <si>
    <t>DC/DC</t>
  </si>
  <si>
    <t>./symbols/IC/Power/DC_DC.SchLib</t>
  </si>
  <si>
    <t>ADP2166</t>
  </si>
  <si>
    <t>CP-24-15</t>
  </si>
  <si>
    <t>ADP5054ACPZ</t>
  </si>
  <si>
    <t>LFCSP-48</t>
  </si>
  <si>
    <t>4.5 to 15.5</t>
  </si>
  <si>
    <t>0.8 to 15</t>
  </si>
  <si>
    <t>Texas Instruments</t>
  </si>
  <si>
    <t>TO-263-5</t>
  </si>
  <si>
    <t>4 to 40</t>
  </si>
  <si>
    <t>1.21 to 60</t>
  </si>
  <si>
    <t>LM2585</t>
  </si>
  <si>
    <t>LM2664M6X</t>
  </si>
  <si>
    <t>SOT23-6</t>
  </si>
  <si>
    <t>1.8 to 5.5</t>
  </si>
  <si>
    <t>-5.5 to -1.8</t>
  </si>
  <si>
    <t>LM2664</t>
  </si>
  <si>
    <t>LM27762DSS</t>
  </si>
  <si>
    <t>WSON-12</t>
  </si>
  <si>
    <t>1.5 to 5.5</t>
  </si>
  <si>
    <t>-5.5 to -1.5</t>
  </si>
  <si>
    <t>LP38690SD-5.0</t>
  </si>
  <si>
    <t>WSON-6</t>
  </si>
  <si>
    <t>5.5 to 10V</t>
  </si>
  <si>
    <t>LP38690</t>
  </si>
  <si>
    <t>LP5912-5.0DRVR</t>
  </si>
  <si>
    <t>1.6 to 6.5</t>
  </si>
  <si>
    <t>LP5912</t>
  </si>
  <si>
    <t>LT1764EFE#PBF</t>
  </si>
  <si>
    <t>TSSOP-16</t>
  </si>
  <si>
    <t>2.7 to 20</t>
  </si>
  <si>
    <t>1.21 to 20</t>
  </si>
  <si>
    <t>LT1764</t>
  </si>
  <si>
    <t>TSSOP-16-EPAD</t>
  </si>
  <si>
    <t>LT1965EDD#PBF</t>
  </si>
  <si>
    <t>DFN-8</t>
  </si>
  <si>
    <t>3.5 to 20</t>
  </si>
  <si>
    <t>1.8 to 20</t>
  </si>
  <si>
    <t>LT1965</t>
  </si>
  <si>
    <t>DFN8-3x3</t>
  </si>
  <si>
    <t>LT8612EUDE</t>
  </si>
  <si>
    <t>QFN-28</t>
  </si>
  <si>
    <t>3.4 to 42</t>
  </si>
  <si>
    <t>0.97 to 41.6</t>
  </si>
  <si>
    <t>LTM4644</t>
  </si>
  <si>
    <t>BGA-77</t>
  </si>
  <si>
    <t>4 to 14</t>
  </si>
  <si>
    <t>0.5 to 5.5</t>
  </si>
  <si>
    <t>BGA77C127</t>
  </si>
  <si>
    <t>LTM4732</t>
  </si>
  <si>
    <t>BGA-28</t>
  </si>
  <si>
    <t>3 to 14</t>
  </si>
  <si>
    <t>0.3 to 6</t>
  </si>
  <si>
    <t>BGA28C127</t>
  </si>
  <si>
    <t>SGM2208XTDF12G/TR</t>
  </si>
  <si>
    <t>low noise, adjustable output and low dropout voltage linear regulator</t>
  </si>
  <si>
    <t>SGMICRO</t>
  </si>
  <si>
    <t>TDFN-3×3-12L</t>
  </si>
  <si>
    <t>0 to 24</t>
  </si>
  <si>
    <t>2.7 to 25</t>
  </si>
  <si>
    <t>SGM2208</t>
  </si>
  <si>
    <t>TLV73310PDBVR</t>
  </si>
  <si>
    <t>SOT-23-5</t>
  </si>
  <si>
    <t>1.4 to 5.5</t>
  </si>
  <si>
    <t>1</t>
  </si>
  <si>
    <t>TLV73318PDBVR</t>
  </si>
  <si>
    <t>TPS54332DDAR</t>
  </si>
  <si>
    <t>HSOIC-8</t>
  </si>
  <si>
    <t>3.5 to 28</t>
  </si>
  <si>
    <t>0.8 to 28</t>
  </si>
  <si>
    <t>TPS54332</t>
  </si>
  <si>
    <t>TPS54394RSAR</t>
  </si>
  <si>
    <t>VQFN-16</t>
  </si>
  <si>
    <t>4.5 to 18</t>
  </si>
  <si>
    <t>0.76 to 7</t>
  </si>
  <si>
    <t>TPS566238RQFR</t>
  </si>
  <si>
    <t>QFN-9</t>
  </si>
  <si>
    <t>3 to 18</t>
  </si>
  <si>
    <t>0.6 to 7</t>
  </si>
  <si>
    <t>TPS56623x</t>
  </si>
  <si>
    <t>VQFN-HR-9</t>
  </si>
  <si>
    <t>TPS7A5401RPSR</t>
  </si>
  <si>
    <t>VQFN-12</t>
  </si>
  <si>
    <t>1.1 to 6.5</t>
  </si>
  <si>
    <t>0.8 to 5.15</t>
  </si>
  <si>
    <t>TPS7A54</t>
  </si>
  <si>
    <t>VQFN-HR-12</t>
  </si>
  <si>
    <t>TPS7A8801RTJ</t>
  </si>
  <si>
    <t>WQFN-20</t>
  </si>
  <si>
    <t>1.4 to 6.5</t>
  </si>
  <si>
    <t>0.8 to 5</t>
  </si>
  <si>
    <t>TPS7A88</t>
  </si>
  <si>
    <t>TPS82140SILT</t>
  </si>
  <si>
    <t>µSiL-8</t>
  </si>
  <si>
    <t>3 to 17</t>
  </si>
  <si>
    <t>-17 to -3</t>
  </si>
  <si>
    <t>uSIL-8</t>
  </si>
  <si>
    <t>LTM4707</t>
  </si>
  <si>
    <t>BGA-49</t>
  </si>
  <si>
    <t>3 to 16</t>
  </si>
  <si>
    <t>BGA49C80P7X7</t>
  </si>
  <si>
    <t>RC0402FR-070RL</t>
  </si>
  <si>
    <t>0Ω ±1% 0.063W 0402 Thick Film Chip Resistor</t>
  </si>
  <si>
    <t>Yageo</t>
  </si>
  <si>
    <t>0R</t>
  </si>
  <si>
    <t>±1%</t>
  </si>
  <si>
    <t>./symbols/Passive/res.Schlib</t>
  </si>
  <si>
    <t>RES</t>
  </si>
  <si>
    <t>./footprints/Passive/res.pcblib</t>
  </si>
  <si>
    <t>RC0805FR-070RL</t>
  </si>
  <si>
    <t>0Ω ±1% 0.125W 0805 Thick Film Chip Resistor</t>
  </si>
  <si>
    <t>RC0402FR-07100KL</t>
  </si>
  <si>
    <t>100kΩ ±1% 0.063W 0402 Thick Film Chip Resistor</t>
  </si>
  <si>
    <t>100K</t>
  </si>
  <si>
    <t>RC0402FR-07100RL</t>
  </si>
  <si>
    <t>100Ω ±1% 0.063W 0402 Thick Film Chip Resistor</t>
  </si>
  <si>
    <t>100R</t>
  </si>
  <si>
    <t>RC0402FR-0710KL</t>
  </si>
  <si>
    <t>10kΩ ±1% 0.063W 0402 Thick Film Chip Resistor</t>
  </si>
  <si>
    <t>10K</t>
  </si>
  <si>
    <t>RC0402FR-0710K2L</t>
  </si>
  <si>
    <t>10.2kΩ ±1% 0.063W 0402 Thick Film Chip Resistor</t>
  </si>
  <si>
    <t>10K2</t>
  </si>
  <si>
    <t>RC0402FR-0710K7L</t>
  </si>
  <si>
    <t>10.7kΩ ±1% 0.063W 0402 Thick Film Chip Resistor</t>
  </si>
  <si>
    <t>10K7</t>
  </si>
  <si>
    <t>RC0402FR-0715KL</t>
  </si>
  <si>
    <t>15kΩ ±1% 0.063W 0402 Thick Film Chip Resistor</t>
  </si>
  <si>
    <t>15K</t>
  </si>
  <si>
    <t>RC0402FR-07160KL</t>
  </si>
  <si>
    <t>160kΩ ±1% 0.063W 0402 Thick Film Chip Resistor</t>
  </si>
  <si>
    <t>160K</t>
  </si>
  <si>
    <t>RC0402FR-0717K8L</t>
  </si>
  <si>
    <t>17.8kΩ ±1% 0.063W 0402 Thick Film Chip Resistor</t>
  </si>
  <si>
    <t>17K8</t>
  </si>
  <si>
    <t>RC0402FR-0718R2L</t>
  </si>
  <si>
    <t>18.2Ω ±1% 0.063W 0402 Thick Film Chip Resistor</t>
  </si>
  <si>
    <t>18R2</t>
  </si>
  <si>
    <t>RC0402FR-071KL</t>
  </si>
  <si>
    <t>1kΩ ±1% 0.063W 0402 Thick Film Chip Resistor</t>
  </si>
  <si>
    <t>1K</t>
  </si>
  <si>
    <t>RC0402FR-071K05L</t>
  </si>
  <si>
    <t>1.05kΩ ±1% 0.063W 0402 Thick Film Chip Resistor</t>
  </si>
  <si>
    <t>1K05</t>
  </si>
  <si>
    <t>RC0402FR-071K5L</t>
  </si>
  <si>
    <t>1.5kΩ ±1% 0.063W 0402 Thick Film Chip Resistor</t>
  </si>
  <si>
    <t>1K5</t>
  </si>
  <si>
    <t>RC0402FR-07200KL</t>
  </si>
  <si>
    <t>220kΩ±1% 0.063W 0402 Thick Film Chip Resistor</t>
  </si>
  <si>
    <t>200K</t>
  </si>
  <si>
    <t>RC0402FR-07220KL</t>
  </si>
  <si>
    <t>220K</t>
  </si>
  <si>
    <t>RC0402FR-0724R9L</t>
  </si>
  <si>
    <t>24.9Ω ±1% 0.063W 0402 Thick Film Chip Resistor</t>
  </si>
  <si>
    <t>24R9</t>
  </si>
  <si>
    <t>RC0402FR-072KL</t>
  </si>
  <si>
    <t>2kΩ ±1% 0.063W 0402 Thick Film Chip Resistor</t>
  </si>
  <si>
    <t>2K</t>
  </si>
  <si>
    <t>RC0402FR-0731K6L</t>
  </si>
  <si>
    <t>31.6kΩ ±1% 0.063W 0402 Thick Film Chip Resistor</t>
  </si>
  <si>
    <t>31K6</t>
  </si>
  <si>
    <t>RC0402FR-0733RL</t>
  </si>
  <si>
    <t>33Ω ±1% 0.063W 0402 Thick Film Chip Resistor</t>
  </si>
  <si>
    <t>33R</t>
  </si>
  <si>
    <t>RC0402FR-073KL</t>
  </si>
  <si>
    <t>3kΩ ±1% 0.063W 0402 Thick Film Chip Resistor</t>
  </si>
  <si>
    <t>3K</t>
  </si>
  <si>
    <t>RC0402FR-073K9L</t>
  </si>
  <si>
    <t>3.9kΩ ±1% 0.063W 0402 Thick Film Chip Resistor</t>
  </si>
  <si>
    <t>3K9</t>
  </si>
  <si>
    <t>RC0402FR-0740K2L</t>
  </si>
  <si>
    <t>40.2kΩ±1% 0.063W 0402 Thick Film Chip Resistor</t>
  </si>
  <si>
    <t>40K2</t>
  </si>
  <si>
    <t>RC0402FR-0747K5L</t>
  </si>
  <si>
    <t>47.5kΩ ±1% 0.063W 0402 Thick Film Chip Resistor</t>
  </si>
  <si>
    <t>47K5</t>
  </si>
  <si>
    <t>RC0402FR-07499KL</t>
  </si>
  <si>
    <t>499kΩ±1% 0.063W 0402 Thick Film Chip Resistor</t>
  </si>
  <si>
    <t>499K</t>
  </si>
  <si>
    <t>RC0402FR-0750RL</t>
  </si>
  <si>
    <t>50Ω ±1% 0.063W 0402 Thick Film Chip Resistor</t>
  </si>
  <si>
    <t>50R</t>
  </si>
  <si>
    <t>RC0402FR-07560RL</t>
  </si>
  <si>
    <t>560R</t>
  </si>
  <si>
    <t>RC0402FR-0756KL</t>
  </si>
  <si>
    <t>56kΩ ±1% 0.063W 0402 Thick Film Chip Resistor</t>
  </si>
  <si>
    <t>56K</t>
  </si>
  <si>
    <t>RC0402FR-074K99L</t>
  </si>
  <si>
    <t>4.99kΩ ±1% 0.063W 0402 Thick Film Chip Resistor</t>
  </si>
  <si>
    <t>4K99</t>
  </si>
  <si>
    <t>RC0402FR-0768R1L</t>
  </si>
  <si>
    <t>68.1Ω ±1% 0.063W 0402 Thick Film Chip Resistor</t>
  </si>
  <si>
    <t>68R1</t>
  </si>
  <si>
    <t>RC0402FR-076K81L</t>
  </si>
  <si>
    <t>6.81kΩ ±1% 0.063W 0402 Thick Film Chip Resistor</t>
  </si>
  <si>
    <t>6K81</t>
  </si>
  <si>
    <t>RC0402FR-078K66L</t>
  </si>
  <si>
    <t>8.66kΩ ±1% 0.063W 0402 Thick Film Chip Resistor</t>
  </si>
  <si>
    <t>8K66</t>
  </si>
  <si>
    <t>RC0402FR-0766K5L</t>
  </si>
  <si>
    <t>66.5kΩ±1% 0.063W 0402 Thick Film Chip Resistor</t>
  </si>
  <si>
    <t>66K5</t>
  </si>
  <si>
    <t>RC0402FR-0718K2L</t>
  </si>
  <si>
    <t>18.2kΩ±1% 0.063W 0402 Thick Film Chip Resistor</t>
  </si>
  <si>
    <t>18K2</t>
  </si>
  <si>
    <t>RC0402FR-071ML</t>
  </si>
  <si>
    <t>1MΩ±1% 0.063W 0402 Thick Film Chip Resistor</t>
  </si>
  <si>
    <t>1M</t>
  </si>
  <si>
    <t>RC0402FR-07243KL</t>
  </si>
  <si>
    <t>243kΩ±1% 0.063W 0402 Thick Film Chip Resistor</t>
  </si>
  <si>
    <t>243K</t>
  </si>
  <si>
    <t>RC0402FR-07412KL</t>
  </si>
  <si>
    <t>412kΩ±1% 0.063W 0402 Thick Film Chip Resistor</t>
  </si>
  <si>
    <t>412K</t>
  </si>
  <si>
    <t>RC0402FR-07866KL</t>
  </si>
  <si>
    <t>866kΩ±1% 0.063W 0402 Thick Film Chip Resistor</t>
  </si>
  <si>
    <t>866K</t>
  </si>
  <si>
    <t>RC0402FR-0712KL</t>
  </si>
  <si>
    <t>12kΩ ±1% 0.063W 0402 Thick Film Chip Resistor</t>
  </si>
  <si>
    <t>12K</t>
  </si>
  <si>
    <t>RC0402FR-07200RL</t>
  </si>
  <si>
    <t>200Ω ±1% 0.063W 0402 Thick Film Chip Resistor</t>
  </si>
  <si>
    <t>200R</t>
  </si>
  <si>
    <t>RC0402FR-0711KL</t>
  </si>
  <si>
    <t>11kΩ ±1% 0.063W 0402 Thick Film Chip Resistor</t>
  </si>
  <si>
    <t>11K</t>
  </si>
  <si>
    <t>RC0402FR-072K49L</t>
  </si>
  <si>
    <t>2.49kΩ ±1% 0.063W 0402 Thick Film Chip Resistor</t>
  </si>
  <si>
    <t>2K49</t>
  </si>
  <si>
    <t>RC0402FR-075K76L</t>
  </si>
  <si>
    <t>5.76kΩ ±1% 0.063W 0402 Thick Film Chip Resistor</t>
  </si>
  <si>
    <t>5K76</t>
  </si>
  <si>
    <t>RC0402FR-07330RL</t>
  </si>
  <si>
    <t>330Ω ±1% 0.063W 0402 Thick Film Chip Resistor</t>
  </si>
  <si>
    <t>330R</t>
  </si>
  <si>
    <t>RC0402FR-07120RL</t>
  </si>
  <si>
    <t>120Ω ±1% 0.063W 0402 Thick Film Chip Resistor</t>
  </si>
  <si>
    <t>120R</t>
  </si>
  <si>
    <t>RC0402FR-0752K3L</t>
  </si>
  <si>
    <t>52.3kΩ±1% 0.063W 0402 Thick Film Chip Resistor</t>
  </si>
  <si>
    <t>52K3</t>
  </si>
  <si>
    <t>RC0402FR-0775KL</t>
  </si>
  <si>
    <t>75kΩ±1% 0.063W 0402 Thick Film Chip Resistor</t>
  </si>
  <si>
    <t>75K</t>
  </si>
  <si>
    <t>RC0201FR-07100RL</t>
  </si>
  <si>
    <t>100Ω ±1% 0.05W 0201 Thick Film Chip Resistor</t>
  </si>
  <si>
    <t>RC0402FR-0722K1L</t>
  </si>
  <si>
    <t>22.1KΩ ±1% 0.05W 0402 Thick Film Chip Resistor</t>
  </si>
  <si>
    <t>22K1</t>
  </si>
  <si>
    <t>RC0402FR-0793K1L</t>
  </si>
  <si>
    <t>93.1KΩ ±1% 0.05W 0402 Thick Film Chip Resistor</t>
  </si>
  <si>
    <t>93K1</t>
  </si>
  <si>
    <t>RC0402FR-07165KL</t>
  </si>
  <si>
    <t>165KΩ ±1% 0.05W 0402 Thick Film Chip Resistor</t>
  </si>
  <si>
    <t>165K</t>
  </si>
  <si>
    <t>RC0402FR-0730K1L</t>
  </si>
  <si>
    <t>30.1KΩ ±1% 0.05W 0402 Thick Film Chip Resistor</t>
  </si>
  <si>
    <t>30K1</t>
  </si>
  <si>
    <t>RC0402FR-0725K5L</t>
  </si>
  <si>
    <t>25.5KΩ ±1% 0.05W 0402 Thick Film Chip Resistor</t>
  </si>
  <si>
    <t>25K5</t>
  </si>
  <si>
    <t>RC0402FR-0749K9L</t>
  </si>
  <si>
    <t>49.9KΩ ±1% 0.05W 0402 Thick Film Chip Resistor</t>
  </si>
  <si>
    <t>49K9</t>
  </si>
  <si>
    <t>RC0402FR-0712K4L</t>
  </si>
  <si>
    <t>12.4KΩ ±1% 0.05W 0402 Thick Film Chip Resistor</t>
  </si>
  <si>
    <t>12K4</t>
  </si>
  <si>
    <t>RC0402FR-0749R9L</t>
  </si>
  <si>
    <t>49.9Ω ±1% 0.063W 0402 Thick Film Chip Resistor</t>
  </si>
  <si>
    <t>49R9</t>
  </si>
  <si>
    <t>RC0402FR-071K1L</t>
  </si>
  <si>
    <t>1.1kΩ ±1% 0.063W 0402 Thick Film Chip Resistor</t>
  </si>
  <si>
    <t>1K1</t>
  </si>
  <si>
    <t>RC0402FR-0769R8L</t>
  </si>
  <si>
    <t>69.8Ω ±1% 0.063W 0402 Thick Film Chip Resistor</t>
  </si>
  <si>
    <t>69R8</t>
  </si>
  <si>
    <t>RC0402FR-07221RL</t>
  </si>
  <si>
    <t>221Ω ±1% 0.063W 0402 Thick Film Chip Resistor</t>
  </si>
  <si>
    <t>221R</t>
  </si>
  <si>
    <t>RC0402FR-0736KL</t>
  </si>
  <si>
    <t>36kΩ ±1% 0.063W 0402 Thick Film Chip Resistor</t>
  </si>
  <si>
    <t>36K</t>
  </si>
  <si>
    <t>RC0402FR-07196KL</t>
  </si>
  <si>
    <t>196kΩ ±1% 0.063W 0402 Thick Film Chip Resistor</t>
  </si>
  <si>
    <t>196K</t>
  </si>
  <si>
    <t>RC0201FR-0722RL</t>
  </si>
  <si>
    <t>22Ω ±1% 0.05W 0201 Thick Film Chip Resistor</t>
  </si>
  <si>
    <t>22R</t>
  </si>
  <si>
    <t>RC0201FR-0756RL</t>
  </si>
  <si>
    <t>56Ω ±1% 0.05W 0201 Thick Film Chip Resistor</t>
  </si>
  <si>
    <t>56R</t>
  </si>
  <si>
    <t>RC0201FR-0749R9L</t>
  </si>
  <si>
    <t>49.9Ω ±1% 0.05W 0201 Thick Film Chip Resistor</t>
  </si>
  <si>
    <t>RC0402FR-072K37L</t>
  </si>
  <si>
    <t>2.37kΩ ±1% 0.063W 0402 Thick Film Chip Resistor</t>
  </si>
  <si>
    <t>2K37</t>
  </si>
  <si>
    <t>RC0402FR-0711K8L</t>
  </si>
  <si>
    <t>11.8kΩ ±1% 0.063W 0402 Thick Film Chip Resistor</t>
  </si>
  <si>
    <t>11K8</t>
  </si>
  <si>
    <t>RC0402FR-073K74L</t>
  </si>
  <si>
    <t>3.74kΩ ±1% 0.063W 0402 Thick Film Chip Resistor</t>
  </si>
  <si>
    <t>3K74</t>
  </si>
  <si>
    <t>RC0402FR-073K01L</t>
  </si>
  <si>
    <t>3.01kΩ ±1% 0.063W 0402 Thick Film Chip Resistor</t>
  </si>
  <si>
    <t>3K01</t>
  </si>
  <si>
    <t>RC0402FR-07270KL</t>
  </si>
  <si>
    <t>270kΩ ±1% 0.063W 0402 Thick Film Chip Resistor</t>
  </si>
  <si>
    <t>270K</t>
  </si>
  <si>
    <t>RC0402FR-072K2L</t>
  </si>
  <si>
    <t>2.2kΩ ±1% 0.063W 0402 Thick Film Chip Resistor</t>
  </si>
  <si>
    <t>2K2</t>
  </si>
  <si>
    <t>RC0201FR-070RL</t>
  </si>
  <si>
    <t>0Ω ±1% 0.05W 0201 Thick Film Chip Resistor</t>
  </si>
  <si>
    <t>RC0402FR-0724K3L</t>
  </si>
  <si>
    <t>24.3kΩ ±1% 0.063W 0402 Thick Film Chip Resistor</t>
  </si>
  <si>
    <t>24K3</t>
  </si>
  <si>
    <t>RC0402FR-077K5L</t>
  </si>
  <si>
    <t>7.5kΩ ±1% 0.063W 0402 Thick Film Chip Resistor</t>
  </si>
  <si>
    <t>7K5</t>
  </si>
  <si>
    <t>RC0402FR-078K25L</t>
  </si>
  <si>
    <t>8.25kΩ ±1% 0.063W 0402 Thick Film Chip Resistor</t>
  </si>
  <si>
    <t>8K25</t>
  </si>
  <si>
    <t>RC0402FR-0760K4L</t>
  </si>
  <si>
    <t>60.4kΩ ±1% 0.063W 0402 Thick Film Chip Resistor</t>
  </si>
  <si>
    <t>60K4</t>
  </si>
  <si>
    <t>RC0201FR-0710KL</t>
  </si>
  <si>
    <t>10kΩ ±1% 0.063W 0201 Thick Film Chip Resistor</t>
  </si>
  <si>
    <t>RC0201FR-074K99L</t>
  </si>
  <si>
    <t>4.99kΩ ±1% 0.063W 0201 Thick Film Chip Resistor</t>
  </si>
  <si>
    <t>RC0201FR-0718K2L</t>
  </si>
  <si>
    <t>18.2kΩ ±1% 0.063W 0201 Thick Film Chip Resistor</t>
  </si>
  <si>
    <t>RC0201FR-072KL</t>
  </si>
  <si>
    <t>2kΩ ±1% 0.063W 0201 Thick Film Chip Resistor</t>
  </si>
  <si>
    <t>RC0201FR-0710K5L</t>
  </si>
  <si>
    <t>10.5kΩ ±1% 0.063W 0201 Thick Film Chip Resistor</t>
  </si>
  <si>
    <t>10K5</t>
  </si>
  <si>
    <t>RC0201FR-073K57L</t>
  </si>
  <si>
    <t>3.57kΩ ±1% 0.063W 0201 Thick Film Chip Resistor</t>
  </si>
  <si>
    <t>3K57</t>
  </si>
  <si>
    <t>RC0201FR-071K15L</t>
  </si>
  <si>
    <t>1.15kΩ ±1% 0.063W 0201 Thick Film Chip Resistor</t>
  </si>
  <si>
    <t>1K15</t>
  </si>
  <si>
    <t>RC0201FR-0733RL</t>
  </si>
  <si>
    <t>33Ω ±1% 0.05W 0201 Thick Film Chip Resistor</t>
  </si>
  <si>
    <t>RT0402BRD07301RL</t>
  </si>
  <si>
    <t>301Ω ±0.1% 0.063W 0402 Thick Film Chip Resistor</t>
  </si>
  <si>
    <t>301R</t>
  </si>
  <si>
    <t>±0.1%</t>
  </si>
  <si>
    <t>RT0402BRD07249RL</t>
  </si>
  <si>
    <t>249Ω ±0.1% 0.063W 0402 Thick Film Chip Resistor</t>
  </si>
  <si>
    <t>249R</t>
  </si>
  <si>
    <t>RT0402BRD0749R9L</t>
  </si>
  <si>
    <t>49.9Ω ±0.1% 0.063W 0402 Thick Film Chip Resistor</t>
  </si>
  <si>
    <t>RT0402BRD0725RL</t>
  </si>
  <si>
    <t>25Ω ±0.1% 0.063W 0402 Thick Film Chip Resistor</t>
  </si>
  <si>
    <t>25R</t>
  </si>
  <si>
    <t>RC0402FR-07270RL</t>
  </si>
  <si>
    <t>270Ω ±1% 0.063W 0402 Thick Film Chip Resistor</t>
  </si>
  <si>
    <t>270R</t>
  </si>
  <si>
    <t>RC0402FR-0747RL</t>
  </si>
  <si>
    <t>47Ω ±1% 0.063W 0402 Thick Film Chip Resistor</t>
  </si>
  <si>
    <t>47R</t>
  </si>
  <si>
    <t>RC0402FR-0745K3L</t>
  </si>
  <si>
    <t>45.3kΩ ±1% 0.063W 0402 Thick Film Chip Resistor</t>
  </si>
  <si>
    <t>45K3</t>
  </si>
  <si>
    <t>RC0402FR-074K7L</t>
  </si>
  <si>
    <t>4.7kΩ ±1% 0.063W 0402 Thick Film Chip Resistor</t>
  </si>
  <si>
    <t>4K7</t>
  </si>
  <si>
    <t>RT0402BRD0790K9L</t>
  </si>
  <si>
    <t>90.9Ω ±0.1% 0.063W 0402 Thick Film Chip Resistor</t>
  </si>
  <si>
    <t>90K9</t>
  </si>
  <si>
    <t>RC0805FR-0733RL</t>
  </si>
  <si>
    <t>33Ω ±1% 0.125W 0805 Thick Film Chip Resistor</t>
  </si>
  <si>
    <t>RC0402FR-073K92L</t>
  </si>
  <si>
    <t>3.92kΩ ±1% 0.063W 0402 Thick Film Chip Resistor</t>
  </si>
  <si>
    <t>3K92</t>
  </si>
  <si>
    <t>RC0402FR-079K53L</t>
  </si>
  <si>
    <t>9.53kΩ ±1% 0.063W 0402 Thick Film Chip Resistor</t>
  </si>
  <si>
    <t>9K53</t>
  </si>
  <si>
    <t>RC0402FR-075K11L</t>
  </si>
  <si>
    <t>5.11kΩ ±1% 0.063W 0402 Thick Film Chip Resistor</t>
  </si>
  <si>
    <t>5K11</t>
  </si>
  <si>
    <t>RC0402FR-078K45L</t>
  </si>
  <si>
    <t>8.45kΩ ±1% 0.063W 0402 Thick Film Chip Resistor</t>
  </si>
  <si>
    <t>8K45</t>
  </si>
  <si>
    <t>WSL1206R0500FTB</t>
  </si>
  <si>
    <t>Current Sense Resistors - SMD 1/4watt .05ohms 1%</t>
  </si>
  <si>
    <t>Vishay</t>
  </si>
  <si>
    <t>1206</t>
  </si>
  <si>
    <t>0R05</t>
  </si>
  <si>
    <t>Q_Factor_at_Freq</t>
  </si>
  <si>
    <t>0805LS-471XJEC</t>
  </si>
  <si>
    <t>470nH ±5% 720mA 310mΩ Unshielded Wirewound Inductor 0805</t>
  </si>
  <si>
    <t>Coilcraft</t>
  </si>
  <si>
    <t>470nH</t>
  </si>
  <si>
    <t>RF_Components</t>
  </si>
  <si>
    <t>15 @ 25.2 MHz</t>
  </si>
  <si>
    <t>./symbols/passive/ind.schlib</t>
  </si>
  <si>
    <t>IND</t>
  </si>
  <si>
    <t>./footprints/passive/ind.pcblib</t>
  </si>
  <si>
    <t>0402FL-181XJRW</t>
  </si>
  <si>
    <t>180nH ±5% 690mA 200mΩ Unshielded Ferrite Core Chip Inductor 0402</t>
  </si>
  <si>
    <t>180nH</t>
  </si>
  <si>
    <t>18 @ 25.2 MHz</t>
  </si>
  <si>
    <t>0402FL-360XJRW</t>
  </si>
  <si>
    <t>36nH ±5% 690mA 200mΩ Unshielded Ferrite Core Chip Inductor 0402</t>
  </si>
  <si>
    <t>36nH</t>
  </si>
  <si>
    <t>16 @ 250 MHz</t>
  </si>
  <si>
    <t>0402FL-200XJRW</t>
  </si>
  <si>
    <t>20nH ±5% 690mA 200mΩ Unshielded Ferrite Core Chip Inductor 0402</t>
  </si>
  <si>
    <t>20nH</t>
  </si>
  <si>
    <t>LQW18AN10NG00</t>
  </si>
  <si>
    <t>10nH ±2% 650mA 110mΩ  Cerramic  Core Chip Inductor 0603</t>
  </si>
  <si>
    <t>Murata Manufacturing</t>
  </si>
  <si>
    <t>10nH</t>
  </si>
  <si>
    <t>35 @ 100 MHz</t>
  </si>
  <si>
    <t>0402CS-39NXGLW</t>
  </si>
  <si>
    <t>39nH ±5% 690mA 550mΩ Cerramic Core Chip Inductor 0402</t>
  </si>
  <si>
    <t>39nH</t>
  </si>
  <si>
    <t>45 @ 1700 MHz</t>
  </si>
  <si>
    <t>LQW18AN18NG00D</t>
  </si>
  <si>
    <t>18nH ±2% 650mA 110mΩ  Cerramic  Core Chip Inductor 0603</t>
  </si>
  <si>
    <t>18nH</t>
  </si>
  <si>
    <t>40 @ 250MHz</t>
  </si>
  <si>
    <t>LQW15AN18NG00D</t>
  </si>
  <si>
    <t>18nH ±2% 370 mA 270mOhm Unshielded Drum Core Wirewound Inductor 0402</t>
  </si>
  <si>
    <t>25 @ 250MHz</t>
  </si>
  <si>
    <t>0805CS-030XJRC</t>
  </si>
  <si>
    <t>3.3nH ±5% 600mA 80mΩ  Unshielded Wirewound Inductor 0805</t>
  </si>
  <si>
    <t>3.3nH</t>
  </si>
  <si>
    <t>50 @ 1.5GHz</t>
  </si>
  <si>
    <t>LQP03HQ1N5C02D</t>
  </si>
  <si>
    <t>1.5nH ±0.2nH 1A 50mOhm Unshielded Thick Film Inductor 0201</t>
  </si>
  <si>
    <t>1.5nH</t>
  </si>
  <si>
    <t>20 @ 500MHz</t>
  </si>
  <si>
    <t>LQP03TN0N7C02J</t>
  </si>
  <si>
    <t>0.7nH ±0.2nH 0.8A 80mOhm Unshielded Thick Film Inductor 0201</t>
  </si>
  <si>
    <t>0.7nH</t>
  </si>
  <si>
    <t>14 @ 500MHz</t>
  </si>
  <si>
    <t>LQW15AN43NJ00D</t>
  </si>
  <si>
    <t>43 nH Unshielded Wirewound Inductor 250 mA 700mOhm Max 0402 (1005 Metric)</t>
  </si>
  <si>
    <t>43nH</t>
  </si>
  <si>
    <t>LQW15AWR18G80D</t>
  </si>
  <si>
    <t>180 nH Unshielded Wirewound Inductor 260 mA 2.2Ohm Max 0402 (1005 Metric)</t>
  </si>
  <si>
    <t>33 @ 250MHz</t>
  </si>
  <si>
    <t>LQW15AN62NJ00D</t>
  </si>
  <si>
    <t>62 nH Unshielded Wirewound Inductor 145 mA 1.82Ohm Max 0402 (1005 Metric)</t>
  </si>
  <si>
    <t>62nH</t>
  </si>
  <si>
    <t>20 @ 200MHz</t>
  </si>
  <si>
    <t>LQW15CNR20J0ZD</t>
  </si>
  <si>
    <t>200 nH Unshielded Wirewound Inductor 390 mA 470mOhm Max 0402 (1005 Metric)</t>
  </si>
  <si>
    <t>74477020</t>
  </si>
  <si>
    <t>100µH ±20% 2.2A 220mΩ Shielded SMD Power Inductor</t>
  </si>
  <si>
    <t>Würth Elektronik</t>
  </si>
  <si>
    <t>1280</t>
  </si>
  <si>
    <t>100uH</t>
  </si>
  <si>
    <t>WE-PD_1280</t>
  </si>
  <si>
    <t>IHLP2525CZER100M5A</t>
  </si>
  <si>
    <t>10µH ±20% 4A 76.9mΩ Shielded SMD Inductor</t>
  </si>
  <si>
    <t>Vishay Dale</t>
  </si>
  <si>
    <t>2525</t>
  </si>
  <si>
    <t>10uH</t>
  </si>
  <si>
    <t>L2525</t>
  </si>
  <si>
    <t>PA5001.102NLT</t>
  </si>
  <si>
    <t>Power Inductors - SMD 1.0uH 20% AEC-Q200 16.8A DCR=4.6mOhm</t>
  </si>
  <si>
    <t>Pulse Electronics</t>
  </si>
  <si>
    <t>4.3x4.3</t>
  </si>
  <si>
    <t>1uH</t>
  </si>
  <si>
    <t>0618CDMCCDS-1R5MC</t>
  </si>
  <si>
    <t>FIXED IND 1.5UH 7A 24 MOHM SMD</t>
  </si>
  <si>
    <t>Sumida America Components Inc.</t>
  </si>
  <si>
    <t>7.0x6.6</t>
  </si>
  <si>
    <t>1.5uH</t>
  </si>
  <si>
    <t>744314047</t>
  </si>
  <si>
    <t>Power Inductors - SMD WE-HCI 470nH 18A DCR=1.35mOhms AEC-Q200</t>
  </si>
  <si>
    <t>7050</t>
  </si>
  <si>
    <t>470 nH</t>
  </si>
  <si>
    <t>XAL7020</t>
  </si>
  <si>
    <t>BLM15GG471SN1D</t>
  </si>
  <si>
    <t>470Ω ±25% 200mA 0402 Ferrite Bead for High-Frequency Noise Suppression</t>
  </si>
  <si>
    <t>Ferrite</t>
  </si>
  <si>
    <t>BLM0402</t>
  </si>
  <si>
    <t>BLM18PG471SN1D</t>
  </si>
  <si>
    <t>470Ω @ 100MHz 1A 200mΩ Power Line Ferrite Bead 0603</t>
  </si>
  <si>
    <t>BLM0603</t>
  </si>
  <si>
    <t>BLM15PD121SN1D</t>
  </si>
  <si>
    <t>120 Ohms @ 100 MHz 1 Power Line Ferrite Bead 0402 1.3A 90mOhm</t>
  </si>
  <si>
    <t>Power Inductors - SMD WE-XHMI 1.5 uH 10.60 A 12.9 mOhms 4030</t>
  </si>
  <si>
    <t>1.5 uH</t>
  </si>
  <si>
    <t>L4030</t>
  </si>
  <si>
    <t>IHLP2525CZER2R2M01</t>
  </si>
  <si>
    <t>2.2µH ±20% 8A 20mΩ Shielded SMD Inductor</t>
  </si>
  <si>
    <t>2.2uH</t>
  </si>
  <si>
    <t>IHLP2525CZER4R7M01</t>
  </si>
  <si>
    <t>4.7µH ±20% 5.5A 40mΩ Shielded SMD Inductor</t>
  </si>
  <si>
    <t>4.7uH</t>
  </si>
  <si>
    <t>IHLP2525CZER1R0M01</t>
  </si>
  <si>
    <t>1.0µH ±20% 11A 10mΩ Shielded SMD Inductor</t>
  </si>
  <si>
    <t>1.0uH</t>
  </si>
  <si>
    <t>600 Ohms @ 100 MHz 1 Signal Line Ferrite Bead 0805 (2012 Metric) 2A 150mOhm</t>
  </si>
  <si>
    <t>600Ω</t>
  </si>
  <si>
    <t>BNX025H01L</t>
  </si>
  <si>
    <t>EMI suppression filter supporting large current, wide frequency.</t>
  </si>
  <si>
    <t>./symbols/passive/emi_filters.schlib</t>
  </si>
  <si>
    <t>BNX02xH01L</t>
  </si>
  <si>
    <t>NFM41PC155B1E3</t>
  </si>
  <si>
    <t>Large Current 3 Terminals Low ESL Chip Multilayer Ceramic Capacitors (EMI Filter) for General Purpose</t>
  </si>
  <si>
    <t>NFM41PC</t>
  </si>
  <si>
    <t>AVA-183A+</t>
  </si>
  <si>
    <t>Mini-Circuits</t>
  </si>
  <si>
    <t>DQ849</t>
  </si>
  <si>
    <t>Amplifier</t>
  </si>
  <si>
    <t>./symbols/IC/RF/Amplifier.Schlib</t>
  </si>
  <si>
    <t>AVA-183P+</t>
  </si>
  <si>
    <t>DQ1225</t>
  </si>
  <si>
    <t>AVA-6183MPS+</t>
  </si>
  <si>
    <t>DG1677-8</t>
  </si>
  <si>
    <t>CWDT8005</t>
  </si>
  <si>
    <t>GaN HEMT 10 Watt PA; DC-8.0 GHz; Gain 15 dB</t>
  </si>
  <si>
    <t>Chengdu Cuiwei Electronic Co</t>
  </si>
  <si>
    <t>DFN-6</t>
  </si>
  <si>
    <t>./symbols/IC/RF/Amplifier.SchLib</t>
  </si>
  <si>
    <t>DFN6-4x4.5</t>
  </si>
  <si>
    <t>CWNPA-2735-P40-M</t>
  </si>
  <si>
    <t>The GaN MMIC high-power amplifier device, fabricated by GaN power MMIC technology, the operation frequency range is 2.7GHz to 3.5GHz, typical power gain is 22.5dB, the saturated output power is 10Watt,</t>
  </si>
  <si>
    <t>ICValley</t>
  </si>
  <si>
    <t>CWNPA_2735_P40_M</t>
  </si>
  <si>
    <t>CWS13101</t>
  </si>
  <si>
    <t>2 ~ 5GHz receiving differential-single-ended amplifier</t>
  </si>
  <si>
    <t>CW</t>
  </si>
  <si>
    <t>QFN-12</t>
  </si>
  <si>
    <t>QFN12-2x2</t>
  </si>
  <si>
    <t>CWS13102</t>
  </si>
  <si>
    <t>2 ~ 5GHz transmitting differential-single-ended amplifier</t>
  </si>
  <si>
    <t>GVA-93+</t>
  </si>
  <si>
    <t>DF782</t>
  </si>
  <si>
    <t>SOT-89</t>
  </si>
  <si>
    <t>HMC451LP3</t>
  </si>
  <si>
    <t>IPA-0206B-CQ5B</t>
  </si>
  <si>
    <t>GaAs MMIC 1.2 Watt PA; 2-6 GHz; Gain 30 dB</t>
  </si>
  <si>
    <t>IC VALLEY Microelectronics</t>
  </si>
  <si>
    <t>QFN-32</t>
  </si>
  <si>
    <t>QFN32-5x5</t>
  </si>
  <si>
    <t>LHA-1+</t>
  </si>
  <si>
    <t>IC RF AMP CATV 50MHZ-6GHZ FG873</t>
  </si>
  <si>
    <t>FG873</t>
  </si>
  <si>
    <t>PMA2-183LN+</t>
  </si>
  <si>
    <t>MC1631-1</t>
  </si>
  <si>
    <t>PMA3-83LN+</t>
  </si>
  <si>
    <t>QPA1008</t>
  </si>
  <si>
    <t>QFN28-5X5</t>
  </si>
  <si>
    <t>TQL9092</t>
  </si>
  <si>
    <t>DFN-EP-8</t>
  </si>
  <si>
    <t>TSY-173LN+</t>
  </si>
  <si>
    <t>MC1630-1</t>
  </si>
  <si>
    <t>MC1630</t>
  </si>
  <si>
    <t>TSY-83LN+</t>
  </si>
  <si>
    <t>QFN12-3.2x3.2</t>
  </si>
  <si>
    <t>MNA-4A+</t>
  </si>
  <si>
    <t>PVGA-123+</t>
  </si>
  <si>
    <t>PMA3-5123+</t>
  </si>
  <si>
    <t>DQ3005</t>
  </si>
  <si>
    <t>PSA-14+</t>
  </si>
  <si>
    <t>MMM1362</t>
  </si>
  <si>
    <t>ADPA1120</t>
  </si>
  <si>
    <t>LFCSP-32</t>
  </si>
  <si>
    <t>YAT-0A+</t>
  </si>
  <si>
    <t>Attenuator</t>
  </si>
  <si>
    <t>./symbols/IC/RF/Attenuator.Schlib</t>
  </si>
  <si>
    <t>YAT-XA+</t>
  </si>
  <si>
    <t>YAT-10A+</t>
  </si>
  <si>
    <t>YAT-3A+</t>
  </si>
  <si>
    <t>YAT-6A+</t>
  </si>
  <si>
    <t>YAT-30A+</t>
  </si>
  <si>
    <t>TRHJ-2041</t>
  </si>
  <si>
    <t>8-channel transmit beamforming phased array silica-based (CMOS) chip operating from 13.7GHz to 14.5GHz.</t>
  </si>
  <si>
    <t>XPHASED</t>
  </si>
  <si>
    <t>WLCSP-84</t>
  </si>
  <si>
    <t>Beamformer</t>
  </si>
  <si>
    <t>./symbols/IC/RF/Beamformer.Schlib</t>
  </si>
  <si>
    <t>TRHJ-4061</t>
  </si>
  <si>
    <t>Millimeter-wave silicon-based 
(CMOS) chip with integrated 4 Tx &amp; Rx channels, 
operating frequency ranging from 32GHz to 37GHz, 
which is mainly used in phased array radar system</t>
  </si>
  <si>
    <t>WLCSP-72</t>
  </si>
  <si>
    <t>Johanson Technology</t>
  </si>
  <si>
    <t>Filter</t>
  </si>
  <si>
    <t>./symbols/IC/RF/Filter.Schlib</t>
  </si>
  <si>
    <t>3350BP39A0500</t>
  </si>
  <si>
    <t>BFCN-3700+</t>
  </si>
  <si>
    <t>FV1206-4</t>
  </si>
  <si>
    <t>LPF_4</t>
  </si>
  <si>
    <t>BFCW-542+</t>
  </si>
  <si>
    <t>JC0603C-1</t>
  </si>
  <si>
    <t>BFHKI-9901+</t>
  </si>
  <si>
    <t>NM3237</t>
  </si>
  <si>
    <t>BPF_3</t>
  </si>
  <si>
    <t>HFCN-7150+</t>
  </si>
  <si>
    <t>FV1206-1</t>
  </si>
  <si>
    <t>HPF_6</t>
  </si>
  <si>
    <t>HFCW-1132+</t>
  </si>
  <si>
    <t>JC0603C</t>
  </si>
  <si>
    <t>HFCW-9500+</t>
  </si>
  <si>
    <t>LFCG-2000+</t>
  </si>
  <si>
    <t>GE0805C-2</t>
  </si>
  <si>
    <t>LPF_8</t>
  </si>
  <si>
    <t>LFCN-1500D+</t>
  </si>
  <si>
    <t>FV1206</t>
  </si>
  <si>
    <t>LFCN-5500D+</t>
  </si>
  <si>
    <t>LFCN-3000+</t>
  </si>
  <si>
    <t>HFCN-2700AD+</t>
  </si>
  <si>
    <t>XLF-662M+</t>
  </si>
  <si>
    <t>LPF_12</t>
  </si>
  <si>
    <t>XHF-63M+</t>
  </si>
  <si>
    <t>HPF_12</t>
  </si>
  <si>
    <t>XHF-73M+</t>
  </si>
  <si>
    <t>XLF-132H+</t>
  </si>
  <si>
    <t>DG1847</t>
  </si>
  <si>
    <t>LPF_24</t>
  </si>
  <si>
    <t>TA0332A</t>
  </si>
  <si>
    <t>SAW Filter 1350MHz SMD 3.0×3.0mm</t>
  </si>
  <si>
    <t>TAI-SAW TECHNOLOGY</t>
  </si>
  <si>
    <t>SMD_6</t>
  </si>
  <si>
    <t>BFHKI-8501+</t>
  </si>
  <si>
    <t>B070MB6S</t>
  </si>
  <si>
    <t>7.10GHz Surface Mount Bandpass Filter</t>
  </si>
  <si>
    <t>Knowles</t>
  </si>
  <si>
    <t>12.7*5.08</t>
  </si>
  <si>
    <t>ADMV1013ACCZ</t>
  </si>
  <si>
    <t>LGA-40</t>
  </si>
  <si>
    <t>Mixer</t>
  </si>
  <si>
    <t>./symbols/IC/RF/Mixer.Schlib</t>
  </si>
  <si>
    <t>ADMV1013</t>
  </si>
  <si>
    <t>CC-40-5</t>
  </si>
  <si>
    <t>ADMV1014ACCZ</t>
  </si>
  <si>
    <t>LGA-32</t>
  </si>
  <si>
    <t>ADMV1014</t>
  </si>
  <si>
    <t>CC-32-6</t>
  </si>
  <si>
    <t>LTC5548</t>
  </si>
  <si>
    <t>QFN12-3.5x2.5</t>
  </si>
  <si>
    <t>LTC5553</t>
  </si>
  <si>
    <t>SMIQ-6243H+</t>
  </si>
  <si>
    <t>LTC5552</t>
  </si>
  <si>
    <t>LTC5549</t>
  </si>
  <si>
    <t>4400BL15A0100E</t>
  </si>
  <si>
    <t>Other</t>
  </si>
  <si>
    <t>./symbols/IC/RF/Other.Schlib</t>
  </si>
  <si>
    <t>D17W+</t>
  </si>
  <si>
    <t>CA531</t>
  </si>
  <si>
    <t>EP2C+</t>
  </si>
  <si>
    <t>EP2K+</t>
  </si>
  <si>
    <t>EP2KA+</t>
  </si>
  <si>
    <t>JV259-1</t>
  </si>
  <si>
    <t>EP2RCW+</t>
  </si>
  <si>
    <t>DG1677-2</t>
  </si>
  <si>
    <t>EP4RKU+</t>
  </si>
  <si>
    <t>PQFN127P600-8N</t>
  </si>
  <si>
    <t>QCN-45+</t>
  </si>
  <si>
    <t>90-Hybrid Mini-Circuit</t>
  </si>
  <si>
    <t>QCS-83+</t>
  </si>
  <si>
    <t>GE0805C-1</t>
  </si>
  <si>
    <t>FPC06073</t>
  </si>
  <si>
    <t>4.3 x 2.0</t>
  </si>
  <si>
    <t>ADL5519</t>
  </si>
  <si>
    <t>CWS23902</t>
  </si>
  <si>
    <t>2.3- 5 GHz Dual-Channel Switch LNA Module</t>
  </si>
  <si>
    <t>QFN-40</t>
  </si>
  <si>
    <t>RF_SoC</t>
  </si>
  <si>
    <t>./symbols/IC/RF/RF_SoC.SchLib</t>
  </si>
  <si>
    <t>QFN40-6x6</t>
  </si>
  <si>
    <t>ADRF5024BCCZN</t>
  </si>
  <si>
    <t>LGA-12</t>
  </si>
  <si>
    <t>Switch</t>
  </si>
  <si>
    <t>./symbols/IC/RF/Switch.Schlib</t>
  </si>
  <si>
    <t>ADRF5024</t>
  </si>
  <si>
    <t>CC-12-3</t>
  </si>
  <si>
    <t>ADRF5238</t>
  </si>
  <si>
    <t>LFCSP_RT-12</t>
  </si>
  <si>
    <t>CR-12-1</t>
  </si>
  <si>
    <t>HMC544A</t>
  </si>
  <si>
    <t>SOT26</t>
  </si>
  <si>
    <t>RJ_6_ADI-L</t>
  </si>
  <si>
    <t>SKY13575-639LF</t>
  </si>
  <si>
    <t>SKYWORKS</t>
  </si>
  <si>
    <t>QFN-14</t>
  </si>
  <si>
    <t>ADRF5019BCPZN</t>
  </si>
  <si>
    <t>CP-16-38</t>
  </si>
  <si>
    <t>ADRF5019</t>
  </si>
  <si>
    <t>HMC1118LP3DE</t>
  </si>
  <si>
    <t>ADF5356BCPZ</t>
  </si>
  <si>
    <t>Synth</t>
  </si>
  <si>
    <t>./symbols/IC/RF/Synth.Schlib</t>
  </si>
  <si>
    <t>ADF5356</t>
  </si>
  <si>
    <t>LMX2594RHA</t>
  </si>
  <si>
    <t>VQFN-40</t>
  </si>
  <si>
    <t>VQFN40-6x6</t>
  </si>
  <si>
    <t>ADRV9025BBCZ</t>
  </si>
  <si>
    <t>BC-289-6</t>
  </si>
  <si>
    <t>Transciever</t>
  </si>
  <si>
    <t>./symbols/IC/RF/Transciever.Schlib</t>
  </si>
  <si>
    <t>ADRV902x</t>
  </si>
  <si>
    <t>BGA289C80P17X17</t>
  </si>
  <si>
    <t>ADRV9026BBCZ</t>
  </si>
  <si>
    <t>ФП3П7-814-77</t>
  </si>
  <si>
    <t>Фильтр пьезоэлектрический, номинальная частота 1030 МГц, полоса пропускания 8,6 МГц</t>
  </si>
  <si>
    <t>БУТИС</t>
  </si>
  <si>
    <t>SMD-6</t>
  </si>
  <si>
    <t>FREQ</t>
  </si>
  <si>
    <t>142-0761-801</t>
  </si>
  <si>
    <t>RF Connectors / Coaxial Connectors SMA JACK SMT 50OHM</t>
  </si>
  <si>
    <t>Cinch Connectivity Solutions</t>
  </si>
  <si>
    <t>RF / Coaxial Connectors</t>
  </si>
  <si>
    <t>18 GHz</t>
  </si>
  <si>
    <t>./symbols/connectors/connectors.schlib</t>
  </si>
  <si>
    <t>RF_Connector</t>
  </si>
  <si>
    <t>./footprints/Connectors/connectors.PcbLib</t>
  </si>
  <si>
    <t>53398-0471</t>
  </si>
  <si>
    <t>1.25mm Pitch PicoBlade PCB Header, Single Row, Vertical, Surface Mount, Tin Plating, 4 Circuits</t>
  </si>
  <si>
    <t>Molex</t>
  </si>
  <si>
    <t>Wire-to-Board &amp; Pin Headers</t>
  </si>
  <si>
    <t>MOLEX_53398-0471</t>
  </si>
  <si>
    <t>87832-1420</t>
  </si>
  <si>
    <t>Connector Header Surface Mount 14 position 0.079 _2.00mm_</t>
  </si>
  <si>
    <t>MOLEX_87832-1420</t>
  </si>
  <si>
    <t>85305-0232</t>
  </si>
  <si>
    <t>50 Ohms, SMP Surface Mount Plug</t>
  </si>
  <si>
    <t>26.5 GHz</t>
  </si>
  <si>
    <t>MOLEX_85305-0232</t>
  </si>
  <si>
    <t>SMA-KYHDC</t>
  </si>
  <si>
    <t>50 Ohms, SMA Surface Mount Plug</t>
  </si>
  <si>
    <t>Амитрон</t>
  </si>
  <si>
    <t>TB006-508-02BE</t>
  </si>
  <si>
    <t>2 Position Wire to Board Terminal Block Horizontal with Board 0.200" (5.08mm) Through Hole</t>
  </si>
  <si>
    <t>Same Sky</t>
  </si>
  <si>
    <t>Power &amp; Terminal Blocks</t>
  </si>
  <si>
    <t>CUI_TB006 -508-02BE</t>
  </si>
  <si>
    <t>S2B-ZR-SM4A-TF</t>
  </si>
  <si>
    <t>s very small with a mounting height of 5.6 mm and a thickness of only 3.5 mm</t>
  </si>
  <si>
    <t>ZH CONNECTOR</t>
  </si>
  <si>
    <t>Headers &amp; Wire Housings</t>
  </si>
  <si>
    <t>JST_S2B-ZR-SM4A-TF</t>
  </si>
  <si>
    <t>SOLC-120-02-F-Q-A-K-TR</t>
  </si>
  <si>
    <t>Board to Board &amp; Mezzanine Connectors .050" FOURRAY(TM) Quad Row Tiger Buy(TM) Socket Strip</t>
  </si>
  <si>
    <t>Samtec</t>
  </si>
  <si>
    <t>Board-to-Board / Mezzanine / Edge</t>
  </si>
  <si>
    <t>SMP-MSLD-PCT-6</t>
  </si>
  <si>
    <t>SMP Right Angle PCB Limited Detent Jack Through Hole 50 Ohm</t>
  </si>
  <si>
    <t>Amphenol</t>
  </si>
  <si>
    <t>12 GHz</t>
  </si>
  <si>
    <t>SMP-MSSB-PCS</t>
  </si>
  <si>
    <t>SMP Straight PCB Limited Detent Jack End Launch 50 Ohm</t>
  </si>
  <si>
    <t>47352-1001</t>
  </si>
  <si>
    <t>1.10mm Pitch microSD Card Connector, Push-Push Type, with VSS (Supply Voltage Ground) Detect Switch, Lead-Free</t>
  </si>
  <si>
    <t>I/O &amp; Memory Interfaces</t>
  </si>
  <si>
    <t>PJ-002B</t>
  </si>
  <si>
    <t>24 VDC 2.5 A Right Angle Through Hole 2 Conductors 3 Contacts Male Power Jack</t>
  </si>
  <si>
    <t>CUI Inc</t>
  </si>
  <si>
    <t>ZX62R-B-5P</t>
  </si>
  <si>
    <t>USB 2.0-MICRO B, ZX62R-B-5P, SMD,Right Angle</t>
  </si>
  <si>
    <t>Hirose Electric</t>
  </si>
  <si>
    <t>ADM6-60-01.5-L-4-2-A-TR_1</t>
  </si>
  <si>
    <t>240 Position Connector High Density Array, Male Surface Mount Gold</t>
  </si>
  <si>
    <t>Samtec Inc.</t>
  </si>
  <si>
    <t>SOM240_1</t>
  </si>
  <si>
    <t>ADM6-60-01.5-L-4-2-A-TR</t>
  </si>
  <si>
    <t>ADM6-60-01.5-L-4-2-A-TR_2</t>
  </si>
  <si>
    <t>SOM240_2</t>
  </si>
  <si>
    <t>J0G-0001NL</t>
  </si>
  <si>
    <t>1 Port RJ45 Through Hole 10/100/1000 Base-T, AutoMDIX</t>
  </si>
  <si>
    <t>20021321-00050T4LF</t>
  </si>
  <si>
    <t>50 Position Receptacle Connector 0.050" (1.27mm) Surface Mount Gold</t>
  </si>
  <si>
    <t>Amphenol ICC (FCI)</t>
  </si>
  <si>
    <t>2199119-2</t>
  </si>
  <si>
    <t>PCI Express / PCI-connectoren M.2 0.5PITCH 4.2H KEY E GOLDFLASH</t>
  </si>
  <si>
    <t>TE Connectivity</t>
  </si>
  <si>
    <t>15EDGRC-3.81-06P-14-00A(H)</t>
  </si>
  <si>
    <t>pluggable terminal block; socket; male; 7A; 250V; PIN: 6</t>
  </si>
  <si>
    <t>DEGSON ELECTRONICS</t>
  </si>
  <si>
    <t>15EDGRC-06P</t>
  </si>
  <si>
    <t>61202021621</t>
  </si>
  <si>
    <t>Connector Header Through Hole 20 position 0.100" (2.54mm)</t>
  </si>
  <si>
    <t>G14A421211112HR</t>
  </si>
  <si>
    <t>42 Position SAS/PCIe Receptacle Connector Solder Surface Mount, Right Angle</t>
  </si>
  <si>
    <t>G14A42221612AHR</t>
  </si>
  <si>
    <t>OCULINK RECEPTACLE Vertical SMT shell leg DIP length 2.9mm with hold down tape and reel package</t>
  </si>
  <si>
    <t>1586037-4</t>
  </si>
  <si>
    <t>Headers &amp; Wire Housings VERT HDR NO PEGS 4P</t>
  </si>
  <si>
    <t>TE Connectivity / AMP</t>
  </si>
  <si>
    <t>81_SMP-S50-0-L1/111_N</t>
  </si>
  <si>
    <t>COAXIAL CONNECTOR, SMP, 50 Ohm, Straight PCB plug (male), Surface Mount, Limited Detent</t>
  </si>
  <si>
    <t>HUBER+SUHNER</t>
  </si>
  <si>
    <t>40 GHz</t>
  </si>
  <si>
    <t>S04B-PASK-2</t>
  </si>
  <si>
    <t>Connector Header Through Hole, Right Angle 4 position 0.079" (2.00mm)</t>
  </si>
  <si>
    <t>JST Sales America Inc.</t>
  </si>
  <si>
    <t>SI4101DY-T1-GE3</t>
  </si>
  <si>
    <t>TrenchFET® Power MOSFET</t>
  </si>
  <si>
    <t>P-Channel MOSFET</t>
  </si>
  <si>
    <t>./symbols/Transistors/Transistors.SchLib</t>
  </si>
  <si>
    <t>Si4101DY</t>
  </si>
  <si>
    <t>./footprints/Transistors/Transistors.PcbLib</t>
  </si>
  <si>
    <t>SO-8</t>
  </si>
  <si>
    <t>BC817</t>
  </si>
  <si>
    <t>NPN Epitaxial Silicon Transistor</t>
  </si>
  <si>
    <t>On Semiconductor</t>
  </si>
  <si>
    <t>SOT-23-3</t>
  </si>
  <si>
    <t>IRLML2060TRPBF</t>
  </si>
  <si>
    <t>Power MOSFET</t>
  </si>
  <si>
    <t>Infineon Technologies</t>
  </si>
  <si>
    <t>N-Channel MOSFET</t>
  </si>
  <si>
    <t>Si7232DN</t>
  </si>
  <si>
    <t>Dual N-Channel 20 V (D-S) MOSFET</t>
  </si>
  <si>
    <t>SS24FL</t>
  </si>
  <si>
    <t>40V 2A Schottky Barrier Rectifier, SOD-123F Package</t>
  </si>
  <si>
    <t>Onsemi</t>
  </si>
  <si>
    <t>SOD-123F</t>
  </si>
  <si>
    <t>./symbols/Diodes/Diode.SchLib</t>
  </si>
  <si>
    <t>Diode</t>
  </si>
  <si>
    <t>./footprints/Diodes/diode.PcbLib</t>
  </si>
  <si>
    <t>MBRA160T3G</t>
  </si>
  <si>
    <t>60V 1A Schottky Barrier Rectifier, SMA Package</t>
  </si>
  <si>
    <t>DO-214AC</t>
  </si>
  <si>
    <t>REPER</t>
  </si>
  <si>
    <t>Реперная точка для автоматического монтажа</t>
  </si>
  <si>
    <t>./symbols/MISC/MISC.SchLib</t>
  </si>
  <si>
    <t>./footprints/MISC/MISC.PcbLib</t>
  </si>
  <si>
    <t>CP</t>
  </si>
  <si>
    <t>Контактная площадка</t>
  </si>
  <si>
    <t>BZX84C13</t>
  </si>
  <si>
    <t>SURFACE MOUNT 350mW SILICON ZENER DIODE</t>
  </si>
  <si>
    <t>On Semi</t>
  </si>
  <si>
    <t>Diode-sot23-3</t>
  </si>
  <si>
    <t>ECS-LVDS33-1000-BN</t>
  </si>
  <si>
    <t>SMD LVDS oscillators</t>
  </si>
  <si>
    <t>ESC</t>
  </si>
  <si>
    <t>ECS-LVDS</t>
  </si>
  <si>
    <t>LSM6DS3TR-C</t>
  </si>
  <si>
    <t>Always-on 3D accelerometer and 3D gyroscope</t>
  </si>
  <si>
    <t>ST</t>
  </si>
  <si>
    <t>LGA-14L</t>
  </si>
  <si>
    <t>LGA14-2.5X3MM</t>
  </si>
  <si>
    <t>SN74LVC1G08DCKRE4</t>
  </si>
  <si>
    <t>single 2-input positive-AND gate is designed for 1.65-V to 5.5-V VCC operation</t>
  </si>
  <si>
    <t>SC70</t>
  </si>
  <si>
    <t>TCM1-63AX+</t>
  </si>
  <si>
    <t>RF Transformer Ultra wide bandwidth 10 to 6000 MHz</t>
  </si>
  <si>
    <t>DB1627</t>
  </si>
  <si>
    <t>./symbols/Passive/balun.SchLib</t>
  </si>
  <si>
    <t>CX3225SB12000H0FLJCC</t>
  </si>
  <si>
    <t>12 MHz ±10ppm Crystal 12pF 150 Ohms 4-SMD, No Lead</t>
  </si>
  <si>
    <t>KYOCERA AVX</t>
  </si>
  <si>
    <t>1825140-2</t>
  </si>
  <si>
    <t>Dip Switch SPST 4 Position Surface Mount Slide (Standard) Actuator 25mA 24VDC</t>
  </si>
  <si>
    <t>TE Connectivity ALCOSWITCH Switches</t>
  </si>
  <si>
    <t>DIPSW_4</t>
  </si>
  <si>
    <t>LTST-C191KGKT</t>
  </si>
  <si>
    <t>Green 571nm LED Indication - Discrete 2V 0603 (1608 Metric)</t>
  </si>
  <si>
    <t>Lite-On Inc.</t>
  </si>
  <si>
    <t>./symbols/Diodes/diode.SchLib</t>
  </si>
  <si>
    <t>LED</t>
  </si>
  <si>
    <t>R0603</t>
  </si>
  <si>
    <t>B3U-1100P-B</t>
  </si>
  <si>
    <t>Tactile Switch SPST-NO Top Actuated Surface Mount</t>
  </si>
  <si>
    <t>Omron Electronics Inc-EMC Div</t>
  </si>
  <si>
    <t>SW_BTN</t>
  </si>
  <si>
    <t>CT2064-ND</t>
  </si>
  <si>
    <t>Dip Switch SPST 4 Position Through Hole Slide (Standard) Actuator 50mA 24VDC</t>
  </si>
  <si>
    <t>CTS Electrocomponents</t>
  </si>
  <si>
    <t>SM712-02HTG</t>
  </si>
  <si>
    <t>Littelfuse</t>
  </si>
  <si>
    <t>SM712</t>
  </si>
  <si>
    <t>PESD3V3L1BA</t>
  </si>
  <si>
    <t>Bidirectional ElectroStatic Discharge (ESD) protection diode in a very small SOD323 (SC-76) SMD plastic package designed to protect one signal line from the damage caused by ESD and other transients.</t>
  </si>
  <si>
    <t>SOD323</t>
  </si>
  <si>
    <t>CP_0402</t>
  </si>
  <si>
    <t>Antenna</t>
  </si>
  <si>
    <t>УГО антенны</t>
  </si>
  <si>
    <t>def_ant</t>
  </si>
  <si>
    <t>S_Band_Radiator_Niz</t>
  </si>
  <si>
    <t>Керамическая антенна на S_Band</t>
  </si>
  <si>
    <t>Net_Tie</t>
  </si>
  <si>
    <t>Power</t>
  </si>
  <si>
    <t>SI53340-B-GM</t>
  </si>
  <si>
    <t>Low-Jitter LVDS Fanout Clock Buffers</t>
  </si>
  <si>
    <t>Skyworks</t>
  </si>
  <si>
    <t>QFN-16</t>
  </si>
  <si>
    <t>3.3V</t>
  </si>
  <si>
    <t>./symbols/IC/Analog/Clock.SchLib</t>
  </si>
  <si>
    <t>LMK04828BISQ</t>
  </si>
  <si>
    <t>LMK0482x Ultra Low-Noise JESD204B Compliant Clock Jitter Cleaner with Dual Loop PLLs</t>
  </si>
  <si>
    <t>QFN-64</t>
  </si>
  <si>
    <t>CVHD-950-100.000</t>
  </si>
  <si>
    <t>100 MHz VCXO CMOS Oscillator 3.3V 4-SMD, No Lead</t>
  </si>
  <si>
    <t>Crystek Corporation</t>
  </si>
  <si>
    <t>SMD-4</t>
  </si>
  <si>
    <t>TPD4S012</t>
  </si>
  <si>
    <t>4-Channel ESD Solution for USB-HS/USB OTG/USB Charger Interface</t>
  </si>
  <si>
    <t>SON-6</t>
  </si>
  <si>
    <t>./symbols/IC/Analog/Other.SchLib</t>
  </si>
  <si>
    <t>7B-25.000MAAJ-T</t>
  </si>
  <si>
    <t>25 MHz ±30ppm Crystal 18pF 40 Ohms 4-SMD, No Lead</t>
  </si>
  <si>
    <t>TXC CORPORATION</t>
  </si>
  <si>
    <t>ASGTX-C-122.880MHZ-1</t>
  </si>
  <si>
    <t>122.88 MHz VCTCXO LVCMOS Oscillator 3.135V ~ 3.465V 6-SMD, No Lead</t>
  </si>
  <si>
    <t>Abracon LLC</t>
  </si>
  <si>
    <t>ASGTX-C-120.00MHZ-1</t>
  </si>
  <si>
    <t>120.00 MHz VCTCXO LVCMOS Oscillator 3.135V ~ 3.465V 6-SMD, No Lead</t>
  </si>
  <si>
    <t>SIT5357AI-FQ-33N0-100.000000X</t>
  </si>
  <si>
    <t>±100 ppb precision MEMS Super-TCXO</t>
  </si>
  <si>
    <t>SITIME</t>
  </si>
  <si>
    <t>5.0mmx3.2mm</t>
  </si>
  <si>
    <t>SIT5357</t>
  </si>
  <si>
    <t>5.0x3.2</t>
  </si>
  <si>
    <t>Si53306-B-GM</t>
  </si>
  <si>
    <t>Ultra-Low Additive Jitter Fanout Clock Buffers with up to 10 Universal Outputs from Any-Format Input and Wide Frequency Range from 1 MHz to 725 MHz</t>
  </si>
  <si>
    <t>1.8-3.3V</t>
  </si>
  <si>
    <t>Si53306</t>
  </si>
  <si>
    <t>QFN16-3X3</t>
  </si>
  <si>
    <t>ADA4930-1</t>
  </si>
  <si>
    <t>very low noise, low distortion, high speed differential amplifiers</t>
  </si>
  <si>
    <t>./symbols/IC/Analog/OpAmp.SchLib</t>
  </si>
  <si>
    <t>CP-16-21</t>
  </si>
  <si>
    <t>INA293A2</t>
  </si>
  <si>
    <t>INA293 –4 V to 110 V, 1.3-MHz, Ultra-Precise Current Sense Amplifier</t>
  </si>
  <si>
    <t>SOT-23</t>
  </si>
  <si>
    <t>INA293</t>
  </si>
  <si>
    <t>TXS02612RTWR</t>
  </si>
  <si>
    <t>SDIO PORT EXPANDER WITH VOLTAGE-LEVEL TRANSLATION</t>
  </si>
  <si>
    <t>Voltage-Level Translators</t>
  </si>
  <si>
    <t>QFN-24</t>
  </si>
  <si>
    <t>./symbols/IC/DIGITAL/Digital.SchLib</t>
  </si>
  <si>
    <t>TXS02612</t>
  </si>
  <si>
    <t>SN74AVC4T245RSVR</t>
  </si>
  <si>
    <t>Four-bit dual-supply bus transceiver with configurable voltage-level shifting</t>
  </si>
  <si>
    <t>Bus Transceivers</t>
  </si>
  <si>
    <t>UQFN-16</t>
  </si>
  <si>
    <t>SN74AVC2T245RSW</t>
  </si>
  <si>
    <t>SN74AVC2T245 Dual-Bit Dual-Supply Bus Transceiver with Configurable LevelShifting / Voltage Translation and Tri-State Outputs</t>
  </si>
  <si>
    <t>UQFN-10</t>
  </si>
  <si>
    <t>FT4232HL</t>
  </si>
  <si>
    <t>USB Hi-Speed to Quad Channel Serial UART/JTAG/SPI/I2C IC, LQFP-64</t>
  </si>
  <si>
    <t>FTDI</t>
  </si>
  <si>
    <t>Communication Interfaces &amp; Line Drivers</t>
  </si>
  <si>
    <t>LQFP-64</t>
  </si>
  <si>
    <t>LQPF-64</t>
  </si>
  <si>
    <t>TXS0108EPW</t>
  </si>
  <si>
    <t>8-Bit Bi-Directional, Level-Shifting, Voltage Translator for Open-Drain and Push-Pull Applications</t>
  </si>
  <si>
    <t>TSSOP-20</t>
  </si>
  <si>
    <t>TXS0108E</t>
  </si>
  <si>
    <t>93LC56BT/SN</t>
  </si>
  <si>
    <t>IC EEPROM 2KBIT MICROWIRE 8SOIC</t>
  </si>
  <si>
    <t>Microchip Technology</t>
  </si>
  <si>
    <t>Memory</t>
  </si>
  <si>
    <t>SOIC-8</t>
  </si>
  <si>
    <t>DP83867ISRGZ</t>
  </si>
  <si>
    <t>Industrial temperature, robust gigabit Ethernet PHY transceiver with SGMII</t>
  </si>
  <si>
    <t>VQFN-48</t>
  </si>
  <si>
    <t>MAX3485CSA</t>
  </si>
  <si>
    <t>1/1 Transceiver Half RS422, RS485 8-SOIC</t>
  </si>
  <si>
    <t>MAX3485</t>
  </si>
  <si>
    <t>SN74LVC1G14DBVT</t>
  </si>
  <si>
    <t>Single 1.65-V to 5.5-V inverter with Schmitt-Trigger inputs</t>
  </si>
  <si>
    <t>Logic Gates, Buffers, Inverters</t>
  </si>
  <si>
    <t>SN74LVC1G17DBVT</t>
  </si>
  <si>
    <t>Single 1.65-V to 5.5-V buffer with Schmitt-Trigger inputs</t>
  </si>
  <si>
    <t>TXS0104ERGYR</t>
  </si>
  <si>
    <t>4-Bit Bidirectional Voltage-Level Translator for
Open-Drain and Push-Pull Applications</t>
  </si>
  <si>
    <t>VQFN-14</t>
  </si>
  <si>
    <t>TXS0104E</t>
  </si>
  <si>
    <t>SN65LVDS1DBVR</t>
  </si>
  <si>
    <t>single, low-voltage, differential line driver</t>
  </si>
  <si>
    <t>SN65LVDS1</t>
  </si>
  <si>
    <t>SN74ACT04PWR</t>
  </si>
  <si>
    <t>6-ch, 4.5-V to 5.5-V inverters with TTL-compatible CMOS inputs</t>
  </si>
  <si>
    <t>TSSOP-14</t>
  </si>
  <si>
    <t>SN74ACT04</t>
  </si>
  <si>
    <t>SN74ACT17PWR</t>
  </si>
  <si>
    <t>6-channel buffer with Schmitt-trigger inputs</t>
  </si>
  <si>
    <t>SN74ACT17</t>
  </si>
  <si>
    <t>8-Bit Dual-Supply Bus Transceiver With Configurable Voltage Translation and 3-State Outputs</t>
  </si>
  <si>
    <t>VQFN-24</t>
  </si>
  <si>
    <t>SN74LVC8T245</t>
  </si>
  <si>
    <t>SN74LVC04ARGYR</t>
  </si>
  <si>
    <t>The SNx4LVC04A hex inverters contains six independent inverters designed for 2.7-V to 3.6-V VCC operation</t>
  </si>
  <si>
    <t>SN74LVC04A</t>
  </si>
  <si>
    <t>SN74LVC1G04DSF2</t>
  </si>
  <si>
    <t>Single inverter gate is designed for 1.65V to 5.5V VCC operation.</t>
  </si>
  <si>
    <t>X2SON-6</t>
  </si>
  <si>
    <t>SN65LVDT2DBV</t>
  </si>
  <si>
    <t>single, low-voltage, differential line reciever</t>
  </si>
  <si>
    <t>SN65LVDS4RSE</t>
  </si>
  <si>
    <t>a single, low-voltage, differential line receiver in a small-outline UQFN package</t>
  </si>
  <si>
    <t>SN65LVDS4</t>
  </si>
  <si>
    <t>AD9717BCPZ</t>
  </si>
  <si>
    <t>Digital to Analog Converters - DAC Dual 14B, Low Power D-A Converter</t>
  </si>
  <si>
    <t>Data Converters</t>
  </si>
  <si>
    <t>LFCSP-40</t>
  </si>
  <si>
    <t>AD9717</t>
  </si>
  <si>
    <t>SN74AXC4T774RSV</t>
  </si>
  <si>
    <t>4-Bit Dual-Supply Bus Transceiver with Independent Direction Control, Configurable Voltage Translation, and Tri-State Outputs</t>
  </si>
  <si>
    <t>SN74AXC4T774</t>
  </si>
  <si>
    <t>ICM-20948</t>
  </si>
  <si>
    <t>World’s Lowest Power 9-Axis MEMS MotionTracking™ Device</t>
  </si>
  <si>
    <t>TDK</t>
  </si>
  <si>
    <t>IMU</t>
  </si>
  <si>
    <t>MX25L12833FM2I-10G</t>
  </si>
  <si>
    <t>FLASH - NOR Memory IC 128Mbit SPI - Quad I/O, QPI 133 MHz 8-SOP</t>
  </si>
  <si>
    <t>Macronix</t>
  </si>
  <si>
    <t>SOP-8</t>
  </si>
  <si>
    <t>LTC2875HS8</t>
  </si>
  <si>
    <t>High Speed CAN FD Transceiver</t>
  </si>
  <si>
    <t>iNEMO inertial module: always-on 3D accelerometer and 3D gyroscop</t>
  </si>
  <si>
    <t>LSM6DS3TR</t>
  </si>
  <si>
    <t>LIS3MDL</t>
  </si>
  <si>
    <t>Digital output magnetic sensor: ultralow-power, high-performance 3-axis magnetometer</t>
  </si>
  <si>
    <t>LGA-12L</t>
  </si>
  <si>
    <t>XC7S50-1FTGB196C</t>
  </si>
  <si>
    <t>Spartan®-7 Field Programmable Gate Array (FPGA) IC 100 2764800 52160 196-LBGA, CSPBGA</t>
  </si>
  <si>
    <t>Xilinx</t>
  </si>
  <si>
    <t>LBGA-196</t>
  </si>
  <si>
    <t>./symbols/IC/Processors/FPGA.SchLib</t>
  </si>
  <si>
    <t>Ceramic Chip Capacitor 0402 X7R 0.1µF ±10% 16V</t>
  </si>
  <si>
    <t>Tantalum</t>
  </si>
  <si>
    <t>520L103KT16T</t>
  </si>
  <si>
    <t>Ceramic Chip Capacitor 0402 X7R 10nF ±10% 16V</t>
  </si>
  <si>
    <t>ATC / KYOCERA AVX</t>
  </si>
  <si>
    <t>C-0402-520L103KT16T</t>
  </si>
  <si>
    <t>GJM1555C1HR15RB12D</t>
  </si>
  <si>
    <t>0.15pF ±0.03pF 50V C0G/NP0 0402 Multilayer Ceramic Capacitor</t>
  </si>
  <si>
    <t>0.15pF</t>
  </si>
  <si>
    <t>GRM1555C1H6R0WA01D</t>
  </si>
  <si>
    <t>6pF ±0.05pF 50V C0G 0402 Multilayer Ceramic Capacitor</t>
  </si>
  <si>
    <t>6pF</t>
  </si>
  <si>
    <t>±0,1</t>
  </si>
  <si>
    <t>550L104KTT</t>
  </si>
  <si>
    <t>Specialty Ceramic Capacitors 16V 0.1uF Tol 10%</t>
  </si>
  <si>
    <t>C-0402-550L104KTT</t>
  </si>
  <si>
    <t>100pF±2% 50V C0G 0402 Multilayer Ceramic Capacitor</t>
  </si>
  <si>
    <t>10pF±5% 50V C0G 0402 Multilayer Ceramic Capacitor</t>
  </si>
  <si>
    <t>39pF±5% 50V C0G 0402 Multilayer Ceramic Capacitor</t>
  </si>
  <si>
    <t>GRM1555C1H681JA01D</t>
  </si>
  <si>
    <t>680pF±5% 50V C0G Multilayer Ceramic Capacitor</t>
  </si>
  <si>
    <t>680pF</t>
  </si>
  <si>
    <t>GRM1555C1H5R6WA01D</t>
  </si>
  <si>
    <t>5.6pF±0.05pF 50V C0G 0402 Multilayer Ceramic Capacitor</t>
  </si>
  <si>
    <t>5.6pF</t>
  </si>
  <si>
    <t>GRM1555C1H180JA01D</t>
  </si>
  <si>
    <t>18pF±5% 50V C0G 0402 Multilayer Ceramic Capacitor</t>
  </si>
  <si>
    <t>18pF</t>
  </si>
  <si>
    <t>GRM1555C1H220JA01D</t>
  </si>
  <si>
    <t>22pF±5% 50V C0G 0402 Multilayer Ceramic Capacitor</t>
  </si>
  <si>
    <t>22pF</t>
  </si>
  <si>
    <t>LM2585S-ADJ/NOPB</t>
  </si>
  <si>
    <t>LTM4653EY#PBF</t>
  </si>
  <si>
    <t>3.1 to 58</t>
  </si>
  <si>
    <t>0.5 to 0.94 × Vin</t>
  </si>
  <si>
    <t>LTM4653</t>
  </si>
  <si>
    <t>742792040</t>
  </si>
  <si>
    <t>Qorvo</t>
  </si>
  <si>
    <t>3350BP39A0500001E</t>
  </si>
  <si>
    <t>LFCW-8700+</t>
  </si>
  <si>
    <t>N-Channel BJT</t>
  </si>
  <si>
    <t>SM712 TVS Diode Array is designed to protect RS-485 applications</t>
  </si>
  <si>
    <t>SN74LVC8T245RHL</t>
  </si>
  <si>
    <t>BDCN-14-342+</t>
  </si>
  <si>
    <t>Coupler</t>
  </si>
  <si>
    <t>MSOP8G</t>
  </si>
  <si>
    <t>HMC784AMS8GE</t>
  </si>
  <si>
    <t>TC4428AEUA</t>
  </si>
  <si>
    <t>1.5A Dual High-Speed Power MOSFET Drivers</t>
  </si>
  <si>
    <t>MSOP-8</t>
  </si>
  <si>
    <t>TC4428A</t>
  </si>
  <si>
    <t>RC0805FR-0749R9L</t>
  </si>
  <si>
    <t>49.9Ω ±1% 0.063W 0805 Thick Film Chip Resistor</t>
  </si>
  <si>
    <t>BGA-144</t>
  </si>
  <si>
    <t>4.5 to 28</t>
  </si>
  <si>
    <t>6 to 36</t>
  </si>
  <si>
    <t>LTM4656</t>
  </si>
  <si>
    <t>BGA144</t>
  </si>
  <si>
    <t>SS54B</t>
  </si>
  <si>
    <t>DO-214AA</t>
  </si>
  <si>
    <t>Youtai Semiconductor</t>
  </si>
  <si>
    <t>LTM4656EY#PBF</t>
  </si>
  <si>
    <t>TMUX6219</t>
  </si>
  <si>
    <t>Low Ron, 2:1 (SPDT) Switch with 1.8V Logic</t>
  </si>
  <si>
    <t>WSON-8</t>
  </si>
  <si>
    <t>TMUX6219RQX</t>
  </si>
  <si>
    <t>ADP7142AUJZ</t>
  </si>
  <si>
    <t>TSOT-5</t>
  </si>
  <si>
    <t>2.7 to 40</t>
  </si>
  <si>
    <t>ADP7142</t>
  </si>
  <si>
    <t>1.2 to Vin-Vdo</t>
  </si>
  <si>
    <t>Panasonic</t>
  </si>
  <si>
    <t>DFE32CAH1R0MR0L</t>
  </si>
  <si>
    <t>1 µH Shielded Wirewound Inductor 4.1 A 22mOhm Max 1210 (3225 Metric)</t>
  </si>
  <si>
    <t>Murata</t>
  </si>
  <si>
    <t>LT8645S</t>
  </si>
  <si>
    <t>DFE32</t>
  </si>
  <si>
    <t>LQFN-32</t>
  </si>
  <si>
    <t>3.4 to 65</t>
  </si>
  <si>
    <t>EEH-ZK1V101XV</t>
  </si>
  <si>
    <t>Aluminium Organic Polymer Capacitors 35v 100uf 125degC 10 x 10.2mm SMD</t>
  </si>
  <si>
    <t>C6.3X7.7</t>
  </si>
  <si>
    <t>Electrolytic / Hybrid Polymer</t>
  </si>
  <si>
    <t>Hybrid Polymer Aluminum Electrolytic</t>
  </si>
  <si>
    <t>С-EEH-ZK1V101XV</t>
  </si>
  <si>
    <t>GRM21BR61H106KE43K</t>
  </si>
  <si>
    <t>Multilayer Ceramic Capacitors MLCC - SMD/SMT 10 uF 50 VDC 10% 0805 X5R</t>
  </si>
  <si>
    <t>GRM21BR71H474MA88L</t>
  </si>
  <si>
    <t>Multilayer Ceramic Capacitors MLCC - SMD/SMT 0.47 uF 50 VDC 20% 0805 X7R</t>
  </si>
  <si>
    <t>RC0402FR-0735K8L</t>
  </si>
  <si>
    <t>35.8kΩ ±1% 0.063W 0402 Thick Film Chip Resistor</t>
  </si>
  <si>
    <t>35K8</t>
  </si>
  <si>
    <t>RB058LAM-60</t>
  </si>
  <si>
    <t>DIODE SCHOTTKY 60V 3A PMDTM</t>
  </si>
  <si>
    <t>Rohm Semiconductor</t>
  </si>
  <si>
    <t>SOD-128</t>
  </si>
  <si>
    <t>Power Inductors - SMD WE-MAPI 10 uH 3.3 A 70.2mOhms AEC-Q200</t>
  </si>
  <si>
    <t>5.6x5.4</t>
  </si>
  <si>
    <t>WE-MAPI</t>
  </si>
  <si>
    <t>Jumper</t>
  </si>
  <si>
    <t>SOLDER_JUMPER_2PIN</t>
  </si>
  <si>
    <t>Solder Jumper for high amp</t>
  </si>
  <si>
    <t>RC0402FR-0769K1L</t>
  </si>
  <si>
    <t>69.1kΩ ±1% 0.063W 0402 Thick Film Chip Resistor</t>
  </si>
  <si>
    <t>69K1</t>
  </si>
  <si>
    <t>7443844020047</t>
  </si>
  <si>
    <t>FIXED IND 4.7UH 5.2A 46.4 MOHM</t>
  </si>
  <si>
    <t>4.1x4.1</t>
  </si>
  <si>
    <t>WE-MXGI</t>
  </si>
  <si>
    <t>WE-CBF</t>
  </si>
  <si>
    <t>C6.3x7.7</t>
  </si>
  <si>
    <t>RC0201FR-072K2L</t>
  </si>
  <si>
    <t>2.2kΩ ±1% 0.063W 0201 Thick Film Chip Resistor</t>
  </si>
  <si>
    <t>74LVC1G08GV</t>
  </si>
  <si>
    <t>Single 2-input AND gate</t>
  </si>
  <si>
    <t>NEXPERIA</t>
  </si>
  <si>
    <t>SC-74A</t>
  </si>
  <si>
    <t>TMUX4157N</t>
  </si>
  <si>
    <t>-12 V Low RON, 2:1 (SPDT) Negative Voltage Switch with 1.8-V Logic Control</t>
  </si>
  <si>
    <t>SC70-6</t>
  </si>
  <si>
    <t>OPA4197</t>
  </si>
  <si>
    <t>Precision, Rail-to-Rail Input/Output, Low Offset Voltage, Operational Amplifiers</t>
  </si>
  <si>
    <t>±2.25V to ±36 V</t>
  </si>
  <si>
    <t>RC0201FR-0726K4L</t>
  </si>
  <si>
    <t>26.4kΩ ±1% 0.063W 0201 Thick Film Chip Resistor</t>
  </si>
  <si>
    <t>26K4</t>
  </si>
  <si>
    <t>RC0201FR-0716KL</t>
  </si>
  <si>
    <t>16kΩ ±1% 0.063W 0201 Thick Film Chip Resistor</t>
  </si>
  <si>
    <t>16K</t>
  </si>
  <si>
    <t>RC0201FR-0713KL</t>
  </si>
  <si>
    <t>13kΩ ±1% 0.063W 0201 Thick Film Chip Resistor</t>
  </si>
  <si>
    <t>13K</t>
  </si>
  <si>
    <t>SN74LVC08ARGY</t>
  </si>
  <si>
    <t>quadruple 2-input positive-AND gate is designed for 1.65V to 3.6V VCC operation</t>
  </si>
  <si>
    <t>SN74LVC00ARGY</t>
  </si>
  <si>
    <t>quadruple 2-input positive-NAND gate is designed for 1.65V to 3.6V VCC operation</t>
  </si>
  <si>
    <t>quadruple 2-input positive-OR gate is designed for 1.65V to 3.6V VCC operation</t>
  </si>
  <si>
    <t>SN74LVC32ARGY</t>
  </si>
  <si>
    <t>ERJ-3BWFR025V</t>
  </si>
  <si>
    <t>CURRENT SENSE RES, 0R025, 1%, 330 MW; Resistance:0.025ohm</t>
  </si>
  <si>
    <t>PANASONIC</t>
  </si>
  <si>
    <t>0R025</t>
  </si>
  <si>
    <t>TMUX4053BQB</t>
  </si>
  <si>
    <t>2:1, 3 channel switch</t>
  </si>
  <si>
    <t>WQFN-16</t>
  </si>
  <si>
    <t>MUX</t>
  </si>
  <si>
    <t>TMUX7234RRQ</t>
  </si>
  <si>
    <t>Low Ron, 2:1, 4 Channel Precision Switches with Latch-Up Immunity and 1.8 V Logic</t>
  </si>
  <si>
    <t>ADM7172ACPZ-3.3</t>
  </si>
  <si>
    <t>SC70-5</t>
  </si>
  <si>
    <t>Single 2-Input Positive NOR-Gate</t>
  </si>
  <si>
    <t>SN74LVC1G02DCK</t>
  </si>
  <si>
    <t>R0603_ERJ</t>
  </si>
  <si>
    <t>600S101JW250X</t>
  </si>
  <si>
    <t>100 pF ±5% 250V Ceramic Capacitor C0G, NP0 0603 (1608 Metric)</t>
  </si>
  <si>
    <t>C-0603-600S101JW250X</t>
  </si>
  <si>
    <t>ERA-3SM+</t>
  </si>
  <si>
    <t>IC RF AMP CELLULAR 0HZ-3GHZ 4SMD</t>
  </si>
  <si>
    <t>WW107</t>
  </si>
  <si>
    <t>PHA-202+</t>
  </si>
  <si>
    <t>IC RF AMP CATV 30MHZ-2.7GHZ 8DFN</t>
  </si>
  <si>
    <t>DL1636</t>
  </si>
  <si>
    <t>QPD1004A</t>
  </si>
  <si>
    <t>LMR33630ADDA</t>
  </si>
  <si>
    <t>IC REG BUCK ADJ 3A 8SOPWR</t>
  </si>
  <si>
    <t>3.8 to 36</t>
  </si>
  <si>
    <t>1 to 24</t>
  </si>
  <si>
    <t>ADP7104ACPZ-R7</t>
  </si>
  <si>
    <t>IC REG LIN POS ADJ 500MA 8LFCSP</t>
  </si>
  <si>
    <t>CP-8-5</t>
  </si>
  <si>
    <t>3.3 to 20</t>
  </si>
  <si>
    <t>Vin - 0.35</t>
  </si>
  <si>
    <t>LFCSP_WD-8</t>
  </si>
  <si>
    <t>LM51581RTER</t>
  </si>
  <si>
    <t>3.2 to 60</t>
  </si>
  <si>
    <t>up to 83</t>
  </si>
  <si>
    <t>IC REG LIN 3.3V 800MA 8-LFCSP-WD</t>
  </si>
  <si>
    <t>IC REG LIN 1.8V 600MA 8-LFCSP-WD</t>
  </si>
  <si>
    <t>IC REG LIN POS ADJ 2A 8-LFCSP-WD</t>
  </si>
  <si>
    <t>IC REG LIN 1.8V 200MA TSOT-23-5</t>
  </si>
  <si>
    <t>IC REG LIN 2.5V 200MA TSOT-23-5</t>
  </si>
  <si>
    <t>IC REG LIN POS ADJ 3A 16-LFCSP</t>
  </si>
  <si>
    <t>IC REG BUCK 1V 6A 24LFCSP</t>
  </si>
  <si>
    <t>IC REG CTRLR BUCK 48LFCSP</t>
  </si>
  <si>
    <t>IC REG BST FLYBACK ADJ 3A TO263</t>
  </si>
  <si>
    <t>IC REG CHRG PUMP INV 40MA SOT23</t>
  </si>
  <si>
    <t>IC REG CHARGE PUMP ADJ DL 12WSON</t>
  </si>
  <si>
    <t>IC REG LINEAR 5V 1A 6-WSON</t>
  </si>
  <si>
    <t>IC REG LINEAR 5V 500MA 6-WSON</t>
  </si>
  <si>
    <t>IC REG LINEAR POS ADJ 3A 16TSSOP</t>
  </si>
  <si>
    <t>IC REG LINEAR POS ADJ 1.1A 8-DFN</t>
  </si>
  <si>
    <t>IC REG BUCK ADJ 6A 28QFN</t>
  </si>
  <si>
    <t>DC DC CONVERTER 4X0.6-5.5V</t>
  </si>
  <si>
    <t>16VIN, 4A ULTRALOW NOISE SILENT</t>
  </si>
  <si>
    <t>IC REG LINEAR 1V 300MA SOT23-5</t>
  </si>
  <si>
    <t>IC REG LINEAR 1.8V 300MA SOT23-5</t>
  </si>
  <si>
    <t>IC REG BUCK ADJ 3.5A 8SOPWR</t>
  </si>
  <si>
    <t>IC REG BUCK ADJ 3A DL 16QFN</t>
  </si>
  <si>
    <t>IC REG BUCK ADJ 6A 9VQFN</t>
  </si>
  <si>
    <t>IC REG LIN POS ADJ 4A 12-VQFN-HR</t>
  </si>
  <si>
    <t>IC REG LINEAR POS ADJ 1A 20-QFN</t>
  </si>
  <si>
    <t>DC DC CONVERTER 0.9-6V</t>
  </si>
  <si>
    <t>18VIN, 16A SILENT SWITCHER REGUL</t>
  </si>
  <si>
    <t>DC DC CONVERTER 0.5-54.5V</t>
  </si>
  <si>
    <t>28VIN, 36VOUT SYNCHRONOUS BOOST</t>
  </si>
  <si>
    <t>IC REG LINEAR POS ADJ TSOT-23-5</t>
  </si>
  <si>
    <t>IC REG BUCK ADJ 8A 32LQFN</t>
  </si>
  <si>
    <t>IC REG LINEAR 3.3V 2A 8-LFCSP-WD</t>
  </si>
  <si>
    <t>IC RF AMP RADAR 5GHZ-18GHZ 8QFN</t>
  </si>
  <si>
    <t>IC AMP LTE 500MHZ-18GHZ 12MCLP</t>
  </si>
  <si>
    <t>MED PWR PHEMT AMP, 6 - 18 GHZ</t>
  </si>
  <si>
    <t>IC RF AMP LTE 10MHZ-9GHZ SOT89</t>
  </si>
  <si>
    <t>IC RF AMP GPS 5GHZ-18GHZ 16QFN</t>
  </si>
  <si>
    <t>IC AMP LTE 4GHZ-18GHZ MC1631-1</t>
  </si>
  <si>
    <t>IC RF AMP LTE 500MHZ-8GHZ 12MCLP</t>
  </si>
  <si>
    <t>0.6-4.2 GHZ LNA</t>
  </si>
  <si>
    <t>SMT LNA, 13500 - 17000 MHZ, 50</t>
  </si>
  <si>
    <t>0.4-8GHZ MMIC AMPLIFIER</t>
  </si>
  <si>
    <t>IC AMP CELL 500MHZ-2.5GHZ 8QFN</t>
  </si>
  <si>
    <t>SMT VGA, 0.4 - 12 GHZ, 50</t>
  </si>
  <si>
    <t>SMT LNA, 5.5-12.5 GHZ, 50</t>
  </si>
  <si>
    <t>IC AMP LTE 10MHZ-10GHZ MMM1362</t>
  </si>
  <si>
    <t>IC AMP GAAS 6GHZ-18GHZ 32LFCSP</t>
  </si>
  <si>
    <t>RF ATTENUATOR 0DB 50OHM 6VDFN</t>
  </si>
  <si>
    <t>RF ATTENUATOR 10DB 50OHM 6VDFN</t>
  </si>
  <si>
    <t>RF ATTENUATOR 3DB 50OHM 6VDFN</t>
  </si>
  <si>
    <t>RF ATTENUATOR 6DB 50OHM 6VDFN</t>
  </si>
  <si>
    <t>RF ATTENUATOR 30DB 50OHM 6VDFN</t>
  </si>
  <si>
    <t>CER FILTER 3.7GHZ BAND PASS</t>
  </si>
  <si>
    <t>CER FILTER 5.35GHZ BAND PASS</t>
  </si>
  <si>
    <t>LTCC SMT BPF, 8.6-10.9 GHZ, 50</t>
  </si>
  <si>
    <t>CER FILTER 9.45GHZ HIGH PASS</t>
  </si>
  <si>
    <t>CER FILTER 11.3GHZ HIGH PASS</t>
  </si>
  <si>
    <t>CER FILTER 9.65GHZ HIGH PASS</t>
  </si>
  <si>
    <t>CER FILTER 2.35GHZ LOW PASS</t>
  </si>
  <si>
    <t>CER FILTER 6.2GHZ LOW PASS</t>
  </si>
  <si>
    <t>RF FILTER LOW PASS 10.1GHZ 0603</t>
  </si>
  <si>
    <t>CER FILTER 3.6GHZ LOW PASS</t>
  </si>
  <si>
    <t>CER FILTER 5.8GHZ HIGH PASS</t>
  </si>
  <si>
    <t>RF FILTER LOWPASS 6.74GHZ 12VQFN</t>
  </si>
  <si>
    <t>RF FILTER HI PASS 12.45GHZ 12QFN</t>
  </si>
  <si>
    <t>RF FILT HIGH PASS 11.7GHZ 12VQFN</t>
  </si>
  <si>
    <t>RF FILT LOW PASS 1.68GHZ 24VFQFN</t>
  </si>
  <si>
    <t>BANDPASS FLTR / SURF MT / ROHS</t>
  </si>
  <si>
    <t>HIGH BAND POINT-TO-POINT UPCONVE</t>
  </si>
  <si>
    <t>HIGH BAND POINT-TO-POINT DOWNCON</t>
  </si>
  <si>
    <t>IC MIXER 2GHZ-14GHZ 12QFN</t>
  </si>
  <si>
    <t>IC MIXR 3GHZ TO 20GHZ 12-QFN</t>
  </si>
  <si>
    <t>LEVEL 18, SMT IQ MIXER</t>
  </si>
  <si>
    <t>3GHZ TO 20GHZ MICROWAVE MIXER WI</t>
  </si>
  <si>
    <t>RF DIR CPLR 700MHZ-3.5GHZ SOT23</t>
  </si>
  <si>
    <t>RF PWR DVDR 1.8-12.5GHZ 24VFQFN</t>
  </si>
  <si>
    <t>RF PWR DVDR 5-20GHZ 24VFQFN</t>
  </si>
  <si>
    <t>RF PWR DVDR 10.7-31GHZ 32VFQFN</t>
  </si>
  <si>
    <t>RF PWR DVDR 0 HZ-8GHZ 32VFQFN</t>
  </si>
  <si>
    <t>RF PWR DVDR 0 HZ-18GHZ 32VFQFN</t>
  </si>
  <si>
    <t>RF PWR DVDR 2.5GHZ-4.5GHZ 6SMD</t>
  </si>
  <si>
    <t>RF PWR DVDR 4GHZ-8GHZ 0805</t>
  </si>
  <si>
    <t>4 TO 8GHZ 10DB DI COUP SMD</t>
  </si>
  <si>
    <t>IC AMP LOG DETECT CTRLR 32LFCSP</t>
  </si>
  <si>
    <t>IC RF SWITCH SPDT 44GHZ 12LGA</t>
  </si>
  <si>
    <t>IC RF SWITCH SPDT 4GHZ 8MSOP</t>
  </si>
  <si>
    <t>IC RF SWITCH SP4T 6GHZ 14QFN</t>
  </si>
  <si>
    <t>IC RF SWITCH SPDT 13GHZ 16LFCSP</t>
  </si>
  <si>
    <t>IC 13.6GHZ PLLVCO 32LFCSP-WQ</t>
  </si>
  <si>
    <t>IC PLL CLOCK/FREQ SYNTH 40VQFN</t>
  </si>
  <si>
    <t>IC RF TXRX 289CSPBGA</t>
  </si>
  <si>
    <t>RF DIR CPLR 1.7GHZ-3.4GHZ 6SMD</t>
  </si>
  <si>
    <t>CER FILTER 1.825GHZ LOW PASS</t>
  </si>
  <si>
    <t>0.1 GHZ TO 10 GHZ, SILICON SPDT</t>
  </si>
  <si>
    <t>BALUN 2.8GHZ ~ 6GHZ 1:2</t>
  </si>
  <si>
    <t>2.7-3.8 GHZ VARIABLE GAIN DRIVER</t>
  </si>
  <si>
    <t>RF FILTER BAND PASS 3.35GHZ 1008</t>
  </si>
  <si>
    <t>25W, 30-1200 MHZ, GAN RF INPUT-M</t>
  </si>
  <si>
    <t>SDR1806-150ML</t>
  </si>
  <si>
    <t>FIXED IND 15UH 4.3A 35 MOHM SMD</t>
  </si>
  <si>
    <t>Bourns Inc.</t>
  </si>
  <si>
    <t>18.3x14</t>
  </si>
  <si>
    <t>15uH</t>
  </si>
  <si>
    <t>CODACA</t>
  </si>
  <si>
    <t>10.4x10.4</t>
  </si>
  <si>
    <t>SPQ105-150M</t>
  </si>
  <si>
    <t>FIXED IND 3.7UH 4.25A 30 MOHM SMD</t>
  </si>
  <si>
    <t>B3100-13-F</t>
  </si>
  <si>
    <t>DIODE SCHOTTKY 40V 2A SOD123F</t>
  </si>
  <si>
    <t>DIODE SCHOTTKY 60V 1A SMA</t>
  </si>
  <si>
    <t>40V 550MV@5A 5A SMB(DO-214AA)</t>
  </si>
  <si>
    <t>Diodes Incorporated</t>
  </si>
  <si>
    <t>DIODE SCHOTTKY 100V 3A SMC</t>
  </si>
  <si>
    <t>DO-214AB</t>
  </si>
  <si>
    <t>4310LC-132KEC</t>
  </si>
  <si>
    <t>Wideband Bias Choke Wirewound 1.3uH 10% 100KHz Ferrite 4.2A 0.0151Ohm DCR T/R</t>
  </si>
  <si>
    <t>1.3uH</t>
  </si>
  <si>
    <t>4310LC</t>
  </si>
  <si>
    <t>Bias Tee</t>
  </si>
  <si>
    <t>CAP CER 150PF 250V NP0 0805</t>
  </si>
  <si>
    <t>GQM2195C2E151JB12D</t>
  </si>
  <si>
    <t>150pF</t>
  </si>
  <si>
    <t>LQW18AN15NJ80D</t>
  </si>
  <si>
    <t>LQW18AS12NG00D</t>
  </si>
  <si>
    <t>15 nH Unshielded Drum Core, Wirewound Inductor 1.4 A 75mOhm Max 0603 (1608 Metric)</t>
  </si>
  <si>
    <t>15nH</t>
  </si>
  <si>
    <t>38 @ 250MHz</t>
  </si>
  <si>
    <t>0603HP-12NXGLW</t>
  </si>
  <si>
    <t>0603HC-15NXJLW</t>
  </si>
  <si>
    <t>12 nH Unshielded Wirewound Inductor 700 mA 130mOhm Max 0603 (1608 Metric)</t>
  </si>
  <si>
    <t>12nH</t>
  </si>
  <si>
    <t>35 @ 250MHz</t>
  </si>
  <si>
    <t>RF Inductors - SMD 0603 12nH Unshld 2% 1.1A 88mOhms</t>
  </si>
  <si>
    <t>80 @ 1000MHz</t>
  </si>
  <si>
    <t>0603HP</t>
  </si>
  <si>
    <t>0603LQW</t>
  </si>
  <si>
    <t>0402LQW</t>
  </si>
  <si>
    <t>0201LQP</t>
  </si>
  <si>
    <t>0805CS</t>
  </si>
  <si>
    <t>0402CS</t>
  </si>
  <si>
    <t>0402FL</t>
  </si>
  <si>
    <t>0805RF</t>
  </si>
  <si>
    <t>RF Inductors - SMD 0603 15nH Unshld 5% 1.9A 80mOhms</t>
  </si>
  <si>
    <t>65 @ 900MHz</t>
  </si>
  <si>
    <t>0603HC</t>
  </si>
  <si>
    <t>600S2R0AT250X</t>
  </si>
  <si>
    <t>2 pF ±0.05pF 250V Ceramic Capacitor C0G, NP0 0603 (1608 Metric)</t>
  </si>
  <si>
    <t>2pF</t>
  </si>
  <si>
    <t>±0.05</t>
  </si>
  <si>
    <t>±0.1</t>
  </si>
  <si>
    <t>±0.03</t>
  </si>
  <si>
    <t>RC0402FR-07806RL</t>
  </si>
  <si>
    <t>806Ω ±1% 0.063W 0402 Thick Film Chip Resistor</t>
  </si>
  <si>
    <t>806R</t>
  </si>
  <si>
    <t>RC0402FR-07121KL</t>
  </si>
  <si>
    <t>121kΩ±1% 0.063W 0402 Thick Film Chip Resistor</t>
  </si>
  <si>
    <t>121K</t>
  </si>
  <si>
    <t>C3216X7S2A335M160AB</t>
  </si>
  <si>
    <t>3.3 µF ±20% 100V Ceramic Capacitor X7S 1206 (3216 Metric)</t>
  </si>
  <si>
    <t>3.3uF</t>
  </si>
  <si>
    <t>X7S</t>
  </si>
  <si>
    <t>C2012X7R2A104K125AA</t>
  </si>
  <si>
    <t>0.1 µF ±10% 100V Ceramic Capacitor X7R 0805 (2012 Metric)</t>
  </si>
  <si>
    <t>B82472G6223M000</t>
  </si>
  <si>
    <t>FIXED IND 22UH 1.45A 91 MOHM SMD</t>
  </si>
  <si>
    <t>7.3x7.3</t>
  </si>
  <si>
    <t>22uH</t>
  </si>
  <si>
    <t>TPS7A4001DGNR</t>
  </si>
  <si>
    <t>IC REG LIN POS ADJ 50MA 8-HVSSOP</t>
  </si>
  <si>
    <t>HVSSOP-8</t>
  </si>
  <si>
    <t>7 to 100V</t>
  </si>
  <si>
    <t>1.175 to 90</t>
  </si>
  <si>
    <t>OPA197IDBV</t>
  </si>
  <si>
    <t>Standard (General Purpose) Amplifier 1 Circuit Rail-to-Rail SOT-23-5</t>
  </si>
  <si>
    <t>P-Channel 100 V 13A (Tc) 66W (Tc) Surface Mount TO-252AA (DPAK)</t>
  </si>
  <si>
    <t>IRFR5410TRPBF</t>
  </si>
  <si>
    <t>TO-252AA</t>
  </si>
  <si>
    <t>2N7002DW</t>
  </si>
  <si>
    <t>Mosfet Array 60V 115mA 200mW Surface Mount SC-88 (SC-70-6)</t>
  </si>
  <si>
    <t>LM5158RTER</t>
  </si>
  <si>
    <t>IC REG BOOST FLYBACK ADJ 16WQFN 3.2А</t>
  </si>
  <si>
    <t>IC REG BOOST FLYBACK ADJ 16WQFN 1.62A</t>
  </si>
  <si>
    <t>RC0402FR-07365KL</t>
  </si>
  <si>
    <t>365kΩ±1% 0.063W 0402 Thick Film Chip Resistor</t>
  </si>
  <si>
    <t>365K</t>
  </si>
  <si>
    <t>RC0402FR-0723K2L</t>
  </si>
  <si>
    <t>23.2kΩ±1% 0.063W 0402 Thick Film Chip Resistor</t>
  </si>
  <si>
    <t>23K2</t>
  </si>
  <si>
    <t>EEEFK2A330P</t>
  </si>
  <si>
    <t>33uF</t>
  </si>
  <si>
    <t>33 µF 100 V Aluminum Electrolytic Capacitors Radial, Can - SMD 2000 Hrs @ 105°C</t>
  </si>
  <si>
    <t>C-EEEFK2A330P</t>
  </si>
  <si>
    <t>BSS123</t>
  </si>
  <si>
    <t>N-Channel 100 V 170mA 350mW (Ta) Surface Mount SOT-23-3</t>
  </si>
  <si>
    <t>RC1210FR-07150RL</t>
  </si>
  <si>
    <t>150Ω ±1% 0.063W 1210 Thick Film Chip Resistor</t>
  </si>
  <si>
    <t>1210</t>
  </si>
  <si>
    <t>150R</t>
  </si>
  <si>
    <t>4700 pF ±10% 100V Ceramic Capacitor X7R 0805 (2012 Metric)</t>
  </si>
  <si>
    <t>C0805C472K1RACTU</t>
  </si>
  <si>
    <t>TPS3711DDC</t>
  </si>
  <si>
    <t>Supervisor Open Drain or Open Collector 1 Channel SOT-23-THIN</t>
  </si>
  <si>
    <t>SOT-23-6</t>
  </si>
  <si>
    <t>1.8 to 36V</t>
  </si>
  <si>
    <t>RC0402FR-07309KL</t>
  </si>
  <si>
    <t>309kΩ±1% 0.063W 0402 Thick Film Chip Resistor</t>
  </si>
  <si>
    <t>309K</t>
  </si>
  <si>
    <t>Diode 100 V 1A Surface Mount DO-214AC (SMA)</t>
  </si>
  <si>
    <t>US1B-E3/5AT</t>
  </si>
  <si>
    <t>RC0402FR-0722KL</t>
  </si>
  <si>
    <t>22kΩ±1% 0.063W 0402 Thick Film Chip Resistor</t>
  </si>
  <si>
    <t>22K</t>
  </si>
  <si>
    <t>RC0402FR-0728KL</t>
  </si>
  <si>
    <t>28K</t>
  </si>
  <si>
    <t>RC0805FR-0710RL</t>
  </si>
  <si>
    <t>10Ω ±1% 0.125W 0805 Thick Film Chip Resistor</t>
  </si>
  <si>
    <t>10R</t>
  </si>
  <si>
    <t>0603LS-102XJ</t>
  </si>
  <si>
    <t>1 µH Unshielded Inductor 400 mA 810mOhm Max 0603 (1608 Metric)</t>
  </si>
  <si>
    <t>1000nH</t>
  </si>
  <si>
    <t>15 @ 7.9MHz</t>
  </si>
  <si>
    <t>0603LS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</si>
</sst>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indexed="8"/>
      <name val="Calibri"/>
    </font>
    <font>
      <b/>
      <sz val="12"/>
      <color indexed="8"/>
      <name val="Calibri"/>
      <family val="2"/>
      <charset val="204"/>
    </font>
    <font>
      <sz val="12"/>
      <color theme="10"/>
      <name val="Calibri"/>
      <family val="2"/>
      <charset val="204"/>
    </font>
    <font>
      <sz val="12"/>
      <color indexed="8"/>
      <name val="Calibri"/>
      <family val="2"/>
      <charset val="204"/>
    </font>
    <font>
      <sz val="11"/>
      <color rgb="FF242424"/>
      <name val="Aptos Narrow"/>
      <family val="2"/>
    </font>
    <font>
      <sz val="12"/>
      <color rgb="FF000000"/>
      <name val="Arial"/>
      <family val="2"/>
      <charset val="204"/>
    </font>
    <font>
      <sz val="12"/>
      <color rgb="FF333333"/>
      <name val="Arial"/>
      <family val="2"/>
      <charset val="204"/>
    </font>
    <font>
      <sz val="11"/>
      <color rgb="FF333333"/>
      <name val="Arial"/>
      <family val="2"/>
      <charset val="204"/>
    </font>
    <font>
      <sz val="11"/>
      <color rgb="FF000000"/>
      <name val="Arial"/>
      <family val="2"/>
      <charset val="204"/>
    </font>
    <font>
      <sz val="12"/>
      <color indexed="8"/>
      <name val="Calibri"/>
      <family val="2"/>
      <charset val="204"/>
    </font>
    <font>
      <sz val="12"/>
      <color rgb="FF333333"/>
      <name val="Calibri"/>
      <family val="2"/>
      <charset val="204"/>
    </font>
    <font>
      <sz val="12"/>
      <color indexed="8"/>
      <name val="Calibri"/>
      <family val="2"/>
      <charset val="204"/>
    </font>
    <font>
      <sz val="8"/>
      <name val="Calibri"/>
      <family val="2"/>
      <charset val="204"/>
    </font>
    <font>
      <sz val="12"/>
      <color indexed="8"/>
      <name val="Calibri"/>
      <family val="2"/>
      <charset val="204"/>
      <scheme val="minor"/>
    </font>
    <font>
      <sz val="12"/>
      <color rgb="FF212529"/>
      <name val="Calibri"/>
      <family val="2"/>
      <charset val="204"/>
      <scheme val="minor"/>
    </font>
    <font>
      <sz val="12"/>
      <color rgb="FF000000"/>
      <name val="Calibri"/>
      <family val="2"/>
      <charset val="204"/>
      <scheme val="minor"/>
    </font>
    <font>
      <sz val="12"/>
      <color rgb="FF10182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indexed="31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1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0" fillId="0" borderId="0" xfId="0" applyNumberFormat="1" applyBorder="1" applyAlignment="1">
      <alignment horizontal="center"/>
    </xf>
    <xf numFmtId="49" fontId="0" fillId="0" borderId="0" xfId="0" applyNumberFormat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wrapText="1"/>
    </xf>
    <xf numFmtId="0" fontId="6" fillId="0" borderId="0" xfId="0" applyFont="1" applyAlignment="1">
      <alignment horizontal="center" vertical="center"/>
    </xf>
    <xf numFmtId="49" fontId="0" fillId="0" borderId="0" xfId="0" applyNumberForma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0" fillId="0" borderId="0" xfId="0" applyNumberFormat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quotePrefix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16" fontId="13" fillId="0" borderId="0" xfId="0" applyNumberFormat="1" applyFont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0" fontId="13" fillId="0" borderId="0" xfId="0" quotePrefix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0" xfId="0" quotePrefix="1" applyAlignment="1">
      <alignment horizontal="center" vertical="center"/>
    </xf>
    <xf numFmtId="16" fontId="11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13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9" fontId="13" fillId="0" borderId="0" xfId="0" applyNumberFormat="1" applyFont="1" applyAlignment="1">
      <alignment horizontal="center" vertical="center"/>
    </xf>
  </cellXfs>
  <cellStyles count="2">
    <cellStyle name="Гиперссылка" xfId="1" xr:uid="{00000000-0005-0000-0000-000000000000}"/>
    <cellStyle name="Обычный" xfId="0" builtinId="0"/>
  </cellStyles>
  <dxfs count="44"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family val="2"/>
        <charset val="204"/>
        <scheme val="minor"/>
      </font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FD8DC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0000000}" name="LibraryTable1" displayName="LibraryTable1" ref="A1:O48" totalsRowShown="0" headerRowDxfId="16" dataDxfId="15">
  <autoFilter ref="A1:O48" xr:uid="{00000000-0009-0000-0100-00000B000000}"/>
  <tableColumns count="15">
    <tableColumn id="1" xr3:uid="{00000000-0010-0000-0000-000001000000}" name="Part Number" dataDxfId="14"/>
    <tableColumn id="2" xr3:uid="{00000000-0010-0000-0000-000002000000}" name="Description" dataDxfId="13"/>
    <tableColumn id="3" xr3:uid="{00000000-0010-0000-0000-000003000000}" name="Manufacturer" dataDxfId="12"/>
    <tableColumn id="4" xr3:uid="{00000000-0010-0000-0000-000004000000}" name="Package" dataDxfId="11"/>
    <tableColumn id="5" xr3:uid="{00000000-0010-0000-0000-000005000000}" name="Value" dataDxfId="10"/>
    <tableColumn id="6" xr3:uid="{00000000-0010-0000-0000-000006000000}" name="Voltage_V" dataDxfId="9"/>
    <tableColumn id="7" xr3:uid="{00000000-0010-0000-0000-000007000000}" name="Dielectric_Class" dataDxfId="8"/>
    <tableColumn id="8" xr3:uid="{00000000-0010-0000-0000-000008000000}" name="Tolerance" dataDxfId="7"/>
    <tableColumn id="9" xr3:uid="{00000000-0010-0000-0000-000009000000}" name="Type" dataDxfId="6"/>
    <tableColumn id="10" xr3:uid="{00000000-0010-0000-0000-00000A000000}" name="Library Path" dataDxfId="5"/>
    <tableColumn id="11" xr3:uid="{00000000-0010-0000-0000-00000B000000}" name="Library Ref" dataDxfId="4"/>
    <tableColumn id="12" xr3:uid="{00000000-0010-0000-0000-00000C000000}" name="Footprint Path 1" dataDxfId="3"/>
    <tableColumn id="13" xr3:uid="{00000000-0010-0000-0000-00000D000000}" name="Footprint Ref 1" dataDxfId="2"/>
    <tableColumn id="16" xr3:uid="{00000000-0010-0000-0000-000010000000}" name="UID" dataDxfId="1"/>
    <tableColumn id="17" xr3:uid="{00000000-0010-0000-0000-000011000000}" name="PnP_name" dataDxfId="0"/>
  </tableColumns>
  <tableStyleInfo name="TableStyleDark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1000000}" name="LibraryTable2" displayName="LibraryTable2" ref="A1:S19" totalsRowShown="0">
  <autoFilter ref="A1:S19" xr:uid="{00000000-0009-0000-0100-00000C000000}"/>
  <tableColumns count="19">
    <tableColumn id="1" xr3:uid="{00000000-0010-0000-0100-000001000000}" name="Part Number"/>
    <tableColumn id="2" xr3:uid="{00000000-0010-0000-0100-000002000000}" name="Description"/>
    <tableColumn id="3" xr3:uid="{00000000-0010-0000-0100-000003000000}" name="Manufacturer"/>
    <tableColumn id="4" xr3:uid="{00000000-0010-0000-0100-000004000000}" name="Package"/>
    <tableColumn id="5" xr3:uid="{00000000-0010-0000-0100-000005000000}" name="Value"/>
    <tableColumn id="6" xr3:uid="{00000000-0010-0000-0100-000006000000}" name="Voltage_V"/>
    <tableColumn id="7" xr3:uid="{00000000-0010-0000-0100-000007000000}" name="Dielectric_Class"/>
    <tableColumn id="8" xr3:uid="{00000000-0010-0000-0100-000008000000}" name="Tolerance"/>
    <tableColumn id="9" xr3:uid="{00000000-0010-0000-0100-000009000000}" name="SRF"/>
    <tableColumn id="10" xr3:uid="{00000000-0010-0000-0100-00000A000000}" name="ComponentClass"/>
    <tableColumn id="11" xr3:uid="{00000000-0010-0000-0100-00000B000000}" name="Type"/>
    <tableColumn id="12" xr3:uid="{00000000-0010-0000-0100-00000C000000}" name="Library Path"/>
    <tableColumn id="13" xr3:uid="{00000000-0010-0000-0100-00000D000000}" name="Library Ref"/>
    <tableColumn id="14" xr3:uid="{00000000-0010-0000-0100-00000E000000}" name="Footprint Path 1"/>
    <tableColumn id="15" xr3:uid="{00000000-0010-0000-0100-00000F000000}" name="Footprint Ref 1"/>
    <tableColumn id="16" xr3:uid="{00000000-0010-0000-0100-000010000000}" name="Footprint Path 2"/>
    <tableColumn id="17" xr3:uid="{00000000-0010-0000-0100-000011000000}" name="Footprint Ref 2"/>
    <tableColumn id="18" xr3:uid="{00000000-0010-0000-0100-000012000000}" name="UID"/>
    <tableColumn id="19" xr3:uid="{00000000-0010-0000-0100-000013000000}" name="PnP_name"/>
  </tableColumns>
  <tableStyleInfo name="TableStyleDark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3000000}" name="LibraryTable4" displayName="LibraryTable4" ref="A1:L117" totalsRowShown="0">
  <autoFilter ref="A1:L117" xr:uid="{00000000-0009-0000-0100-00000E000000}"/>
  <sortState xmlns:xlrd2="http://schemas.microsoft.com/office/spreadsheetml/2017/richdata2" ref="A2:L103">
    <sortCondition ref="E1:E103"/>
  </sortState>
  <tableColumns count="12">
    <tableColumn id="1" xr3:uid="{00000000-0010-0000-0300-000001000000}" name="Part Number"/>
    <tableColumn id="2" xr3:uid="{00000000-0010-0000-0300-000002000000}" name="Description"/>
    <tableColumn id="3" xr3:uid="{00000000-0010-0000-0300-000003000000}" name="Manufacturer"/>
    <tableColumn id="4" xr3:uid="{00000000-0010-0000-0300-000004000000}" name="Package"/>
    <tableColumn id="5" xr3:uid="{00000000-0010-0000-0300-000005000000}" name="Value"/>
    <tableColumn id="6" xr3:uid="{00000000-0010-0000-0300-000006000000}" name="Tolerance"/>
    <tableColumn id="7" xr3:uid="{00000000-0010-0000-0300-000007000000}" name="Library Path"/>
    <tableColumn id="8" xr3:uid="{00000000-0010-0000-0300-000008000000}" name="Library Ref"/>
    <tableColumn id="9" xr3:uid="{00000000-0010-0000-0300-000009000000}" name="Footprint Path"/>
    <tableColumn id="10" xr3:uid="{00000000-0010-0000-0300-00000A000000}" name="Footprint Ref"/>
    <tableColumn id="11" xr3:uid="{00000000-0010-0000-0300-00000B000000}" name="UID"/>
    <tableColumn id="12" xr3:uid="{00000000-0010-0000-0300-00000C000000}" name="PnP_Name"/>
  </tableColumns>
  <tableStyleInfo name="TableStyleDark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4000000}" name="LibraryTable5" displayName="LibraryTable5" ref="A1:M22" totalsRowShown="0">
  <autoFilter ref="A1:M22" xr:uid="{00000000-0009-0000-0100-00000F000000}"/>
  <tableColumns count="13">
    <tableColumn id="1" xr3:uid="{00000000-0010-0000-0400-000001000000}" name="Part Number"/>
    <tableColumn id="2" xr3:uid="{00000000-0010-0000-0400-000002000000}" name="Description"/>
    <tableColumn id="3" xr3:uid="{00000000-0010-0000-0400-000003000000}" name="Manufacturer"/>
    <tableColumn id="4" xr3:uid="{00000000-0010-0000-0400-000004000000}" name="Package"/>
    <tableColumn id="5" xr3:uid="{00000000-0010-0000-0400-000005000000}" name="Value"/>
    <tableColumn id="6" xr3:uid="{00000000-0010-0000-0400-000006000000}" name="ComponentClass"/>
    <tableColumn id="7" xr3:uid="{00000000-0010-0000-0400-000007000000}" name="Q_Factor_at_Freq"/>
    <tableColumn id="8" xr3:uid="{00000000-0010-0000-0400-000008000000}" name="Library Path"/>
    <tableColumn id="9" xr3:uid="{00000000-0010-0000-0400-000009000000}" name="Library Ref"/>
    <tableColumn id="10" xr3:uid="{00000000-0010-0000-0400-00000A000000}" name="Footprint Path"/>
    <tableColumn id="11" xr3:uid="{00000000-0010-0000-0400-00000B000000}" name="Footprint Ref"/>
    <tableColumn id="12" xr3:uid="{00000000-0010-0000-0400-00000C000000}" name="UID"/>
    <tableColumn id="13" xr3:uid="{00000000-0010-0000-0400-00000D000000}" name="PnP_Name"/>
  </tableColumns>
  <tableStyleInfo name="TableStyleDark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5000000}" name="LibraryTable6" displayName="LibraryTable6" ref="A1:K17" totalsRowShown="0">
  <autoFilter ref="A1:K17" xr:uid="{00000000-0009-0000-0100-000010000000}"/>
  <tableColumns count="11">
    <tableColumn id="1" xr3:uid="{00000000-0010-0000-0500-000001000000}" name="Part Number"/>
    <tableColumn id="2" xr3:uid="{00000000-0010-0000-0500-000002000000}" name="Description"/>
    <tableColumn id="3" xr3:uid="{00000000-0010-0000-0500-000003000000}" name="Manufacturer"/>
    <tableColumn id="4" xr3:uid="{00000000-0010-0000-0500-000004000000}" name="Package"/>
    <tableColumn id="5" xr3:uid="{00000000-0010-0000-0500-000005000000}" name="Value"/>
    <tableColumn id="6" xr3:uid="{00000000-0010-0000-0500-000006000000}" name="Library Path"/>
    <tableColumn id="7" xr3:uid="{00000000-0010-0000-0500-000007000000}" name="Library Ref"/>
    <tableColumn id="8" xr3:uid="{00000000-0010-0000-0500-000008000000}" name="Footprint Path"/>
    <tableColumn id="9" xr3:uid="{00000000-0010-0000-0500-000009000000}" name="Footprint Ref"/>
    <tableColumn id="10" xr3:uid="{00000000-0010-0000-0500-00000A000000}" name="UID"/>
    <tableColumn id="11" xr3:uid="{00000000-0010-0000-0500-00000B000000}" name="PnP_Name"/>
  </tableColumns>
  <tableStyleInfo name="TableStyleDark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6000000}" name="LibraryTable7" displayName="LibraryTable7" ref="A1:I6" totalsRowShown="0">
  <autoFilter ref="A1:I6" xr:uid="{00000000-0009-0000-0100-000011000000}"/>
  <tableColumns count="9">
    <tableColumn id="1" xr3:uid="{00000000-0010-0000-0600-000001000000}" name="Part Number"/>
    <tableColumn id="2" xr3:uid="{00000000-0010-0000-0600-000002000000}" name="Description"/>
    <tableColumn id="3" xr3:uid="{00000000-0010-0000-0600-000003000000}" name="Manufacturer"/>
    <tableColumn id="4" xr3:uid="{00000000-0010-0000-0600-000004000000}" name="Library Path"/>
    <tableColumn id="5" xr3:uid="{00000000-0010-0000-0600-000005000000}" name="Library Ref"/>
    <tableColumn id="6" xr3:uid="{00000000-0010-0000-0600-000006000000}" name="Footprint Path"/>
    <tableColumn id="7" xr3:uid="{00000000-0010-0000-0600-000007000000}" name="Footprint Ref"/>
    <tableColumn id="8" xr3:uid="{00000000-0010-0000-0600-000008000000}" name="UID"/>
    <tableColumn id="9" xr3:uid="{00000000-0010-0000-0600-000009000000}" name="PnP_Name"/>
  </tableColumns>
  <tableStyleInfo name="TableStyleDark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2000000}" name="LibraryTable3" displayName="LibraryTable3" ref="A1:M40" totalsRowShown="0" dataDxfId="43">
  <autoFilter ref="A1:M40" xr:uid="{00000000-0009-0000-0100-00000D000000}"/>
  <tableColumns count="13">
    <tableColumn id="1" xr3:uid="{00000000-0010-0000-0200-000001000000}" name="Part Number" dataDxfId="42"/>
    <tableColumn id="2" xr3:uid="{00000000-0010-0000-0200-000002000000}" name="Description" dataDxfId="41"/>
    <tableColumn id="3" xr3:uid="{00000000-0010-0000-0200-000003000000}" name="Manufacturer" dataDxfId="40"/>
    <tableColumn id="4" xr3:uid="{00000000-0010-0000-0200-000004000000}" name="Package" dataDxfId="39"/>
    <tableColumn id="5" xr3:uid="{00000000-0010-0000-0200-000005000000}" name="Vin" dataDxfId="38"/>
    <tableColumn id="6" xr3:uid="{00000000-0010-0000-0200-000006000000}" name="Vout" dataDxfId="37"/>
    <tableColumn id="7" xr3:uid="{00000000-0010-0000-0200-000007000000}" name="Type" dataDxfId="36"/>
    <tableColumn id="8" xr3:uid="{00000000-0010-0000-0200-000008000000}" name="Library Path" dataDxfId="35"/>
    <tableColumn id="9" xr3:uid="{00000000-0010-0000-0200-000009000000}" name="Library Ref" dataDxfId="34"/>
    <tableColumn id="10" xr3:uid="{00000000-0010-0000-0200-00000A000000}" name="Footprint Path" dataDxfId="33"/>
    <tableColumn id="11" xr3:uid="{00000000-0010-0000-0200-00000B000000}" name="Footprint Ref" dataDxfId="32"/>
    <tableColumn id="12" xr3:uid="{00000000-0010-0000-0200-00000C000000}" name="UID" dataDxfId="31"/>
    <tableColumn id="13" xr3:uid="{00000000-0010-0000-0200-00000D000000}" name="PnP_Name" dataDxfId="30"/>
  </tableColumns>
  <tableStyleInfo name="TableStyleDark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0B000000}" name="LibraryTable12" displayName="LibraryTable12" ref="A1:K15" totalsRowShown="0">
  <autoFilter ref="A1:K15" xr:uid="{00000000-0009-0000-0100-000016000000}"/>
  <tableColumns count="11">
    <tableColumn id="1" xr3:uid="{00000000-0010-0000-0B00-000001000000}" name="Part Number"/>
    <tableColumn id="2" xr3:uid="{00000000-0010-0000-0B00-000002000000}" name="Description"/>
    <tableColumn id="3" xr3:uid="{00000000-0010-0000-0B00-000003000000}" name="Manufacturer"/>
    <tableColumn id="4" xr3:uid="{00000000-0010-0000-0B00-000004000000}" name="Package"/>
    <tableColumn id="5" xr3:uid="{00000000-0010-0000-0B00-000005000000}" name="Power"/>
    <tableColumn id="6" xr3:uid="{00000000-0010-0000-0B00-000006000000}" name="Library Path"/>
    <tableColumn id="7" xr3:uid="{00000000-0010-0000-0B00-000007000000}" name="Library Ref"/>
    <tableColumn id="8" xr3:uid="{00000000-0010-0000-0B00-000008000000}" name="Footprint Path"/>
    <tableColumn id="9" xr3:uid="{00000000-0010-0000-0B00-000009000000}" name="Footprint Ref"/>
    <tableColumn id="10" xr3:uid="{00000000-0010-0000-0B00-00000A000000}" name="UID"/>
    <tableColumn id="11" xr3:uid="{00000000-0010-0000-0B00-00000B000000}" name="PnP_Name"/>
  </tableColumns>
  <tableStyleInfo name="TableStyleDark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0C000000}" name="LibraryTable13" displayName="LibraryTable13" ref="A1:K37" totalsRowShown="0">
  <autoFilter ref="A1:K37" xr:uid="{00000000-0009-0000-0100-000017000000}"/>
  <sortState xmlns:xlrd2="http://schemas.microsoft.com/office/spreadsheetml/2017/richdata2" ref="A2:K35">
    <sortCondition ref="D1:D35"/>
  </sortState>
  <tableColumns count="11">
    <tableColumn id="1" xr3:uid="{00000000-0010-0000-0C00-000001000000}" name="Part Number"/>
    <tableColumn id="2" xr3:uid="{00000000-0010-0000-0C00-000002000000}" name="Description"/>
    <tableColumn id="3" xr3:uid="{00000000-0010-0000-0C00-000003000000}" name="Manufacturer"/>
    <tableColumn id="4" xr3:uid="{00000000-0010-0000-0C00-000004000000}" name="Type"/>
    <tableColumn id="5" xr3:uid="{00000000-0010-0000-0C00-000005000000}" name="Package"/>
    <tableColumn id="6" xr3:uid="{00000000-0010-0000-0C00-000006000000}" name="Library Path"/>
    <tableColumn id="7" xr3:uid="{00000000-0010-0000-0C00-000007000000}" name="Library Ref"/>
    <tableColumn id="8" xr3:uid="{00000000-0010-0000-0C00-000008000000}" name="Footprint Path"/>
    <tableColumn id="9" xr3:uid="{00000000-0010-0000-0C00-000009000000}" name="Footprint Ref" dataDxfId="29"/>
    <tableColumn id="10" xr3:uid="{00000000-0010-0000-0C00-00000A000000}" name="UID"/>
    <tableColumn id="11" xr3:uid="{00000000-0010-0000-0C00-00000B000000}" name="PnP_Name"/>
  </tableColumns>
  <tableStyleInfo name="TableStyleDark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7000000}" name="LibraryTable8" displayName="LibraryTable8" ref="A1:K85" totalsRowShown="0">
  <autoFilter ref="A1:K85" xr:uid="{00000000-0009-0000-0100-000012000000}"/>
  <tableColumns count="11">
    <tableColumn id="1" xr3:uid="{00000000-0010-0000-0700-000001000000}" name="Part Number"/>
    <tableColumn id="2" xr3:uid="{00000000-0010-0000-0700-000002000000}" name="Description" dataDxfId="28"/>
    <tableColumn id="3" xr3:uid="{00000000-0010-0000-0700-000003000000}" name="Manufacturer"/>
    <tableColumn id="4" xr3:uid="{00000000-0010-0000-0700-000004000000}" name="Package"/>
    <tableColumn id="5" xr3:uid="{00000000-0010-0000-0700-000005000000}" name="Type"/>
    <tableColumn id="6" xr3:uid="{00000000-0010-0000-0700-000006000000}" name="Library Path"/>
    <tableColumn id="7" xr3:uid="{00000000-0010-0000-0700-000007000000}" name="Library Ref"/>
    <tableColumn id="8" xr3:uid="{00000000-0010-0000-0700-000008000000}" name="Footprint Path"/>
    <tableColumn id="9" xr3:uid="{00000000-0010-0000-0700-000009000000}" name="Footprint Ref"/>
    <tableColumn id="10" xr3:uid="{00000000-0010-0000-0700-00000A000000}" name="UID"/>
    <tableColumn id="11" xr3:uid="{00000000-0010-0000-0700-00000B000000}" name="PnP_Name"/>
  </tableColumns>
  <tableStyleInfo name="TableStyleDark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08000000}" name="LibraryTable9" displayName="LibraryTable9" ref="A1:K26" totalsRowShown="0">
  <autoFilter ref="A1:K26" xr:uid="{00000000-0009-0000-0100-000013000000}"/>
  <tableColumns count="11">
    <tableColumn id="1" xr3:uid="{00000000-0010-0000-0800-000001000000}" name="Part Number"/>
    <tableColumn id="2" xr3:uid="{00000000-0010-0000-0800-000002000000}" name="Description"/>
    <tableColumn id="3" xr3:uid="{00000000-0010-0000-0800-000003000000}" name="Manufacturer"/>
    <tableColumn id="4" xr3:uid="{00000000-0010-0000-0800-000004000000}" name="Type"/>
    <tableColumn id="5" xr3:uid="{00000000-0010-0000-0800-000005000000}" name="FREQ"/>
    <tableColumn id="6" xr3:uid="{00000000-0010-0000-0800-000006000000}" name="Library Path"/>
    <tableColumn id="7" xr3:uid="{00000000-0010-0000-0800-000007000000}" name="Library Ref"/>
    <tableColumn id="8" xr3:uid="{00000000-0010-0000-0800-000008000000}" name="Footprint Path 1"/>
    <tableColumn id="9" xr3:uid="{00000000-0010-0000-0800-000009000000}" name="Footprint Ref 1"/>
    <tableColumn id="10" xr3:uid="{00000000-0010-0000-0800-00000A000000}" name="UID"/>
    <tableColumn id="11" xr3:uid="{00000000-0010-0000-0800-00000B000000}" name="PnP_name"/>
  </tableColumns>
  <tableStyleInfo name="TableStyleDark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9000000}" name="LibraryTable10" displayName="LibraryTable10" ref="A1:J8" totalsRowShown="0">
  <autoFilter ref="A1:J8" xr:uid="{00000000-0009-0000-0100-000014000000}"/>
  <tableColumns count="10">
    <tableColumn id="1" xr3:uid="{00000000-0010-0000-0900-000001000000}" name="Part Number"/>
    <tableColumn id="2" xr3:uid="{00000000-0010-0000-0900-000002000000}" name="Description"/>
    <tableColumn id="3" xr3:uid="{00000000-0010-0000-0900-000003000000}" name="Manufacturer"/>
    <tableColumn id="4" xr3:uid="{00000000-0010-0000-0900-000004000000}" name="Type"/>
    <tableColumn id="5" xr3:uid="{00000000-0010-0000-0900-000005000000}" name="Library Path"/>
    <tableColumn id="6" xr3:uid="{00000000-0010-0000-0900-000006000000}" name="Library Ref"/>
    <tableColumn id="7" xr3:uid="{00000000-0010-0000-0900-000007000000}" name="Footprint Path"/>
    <tableColumn id="8" xr3:uid="{00000000-0010-0000-0900-000008000000}" name="Footprint Ref"/>
    <tableColumn id="11" xr3:uid="{00000000-0010-0000-0900-00000B000000}" name="UID"/>
    <tableColumn id="12" xr3:uid="{00000000-0010-0000-0900-00000C000000}" name="PnP_name"/>
  </tableColumns>
  <tableStyleInfo name="TableStyleDark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BC0CEB-9F2A-4B60-80CC-73E86CD670F7}" name="LibraryTable102" displayName="LibraryTable102" ref="A1:J7" totalsRowShown="0" dataDxfId="27">
  <autoFilter ref="A1:J7" xr:uid="{C0BC0CEB-9F2A-4B60-80CC-73E86CD670F7}"/>
  <tableColumns count="10">
    <tableColumn id="1" xr3:uid="{CB3A1C79-1A89-482A-98FF-C41ABF55BEEF}" name="Part Number" dataDxfId="26"/>
    <tableColumn id="2" xr3:uid="{44955057-24B9-49CA-BBD9-66BEA7AAD0A1}" name="Description" dataDxfId="25"/>
    <tableColumn id="3" xr3:uid="{A6EE2855-F91F-40CE-97EC-03EB26F3DEBD}" name="Manufacturer" dataDxfId="24"/>
    <tableColumn id="13" xr3:uid="{7EBED3ED-A740-4E42-9A05-CF88E1F3F017}" name="Package" dataDxfId="23"/>
    <tableColumn id="5" xr3:uid="{47F69D43-3545-427E-9423-0D1EAE321315}" name="Library Path" dataDxfId="22"/>
    <tableColumn id="6" xr3:uid="{7AE79ED0-6335-4BAC-A922-B72C1B1C6B96}" name="Library Ref" dataDxfId="21"/>
    <tableColumn id="7" xr3:uid="{5ADB13E3-D81C-41FE-BA7D-F7CC76008BC2}" name="Footprint Path" dataDxfId="20"/>
    <tableColumn id="10" xr3:uid="{B53961E2-3E9A-4B9B-8A12-F92593621168}" name="Footprint Ref" dataDxfId="19">
      <calculatedColumnFormula>#REF!</calculatedColumnFormula>
    </tableColumn>
    <tableColumn id="11" xr3:uid="{8E7170F8-5D10-4576-8C4F-B02094A89A9D}" name="UID" dataDxfId="18">
      <calculatedColumnFormula>"D-"&amp;A2</calculatedColumnFormula>
    </tableColumn>
    <tableColumn id="12" xr3:uid="{8C1DF0AF-C246-4EB5-9593-108B0C427AFA}" name="PnP_name" dataDxfId="17">
      <calculatedColumnFormula>I2</calculatedColumnFormula>
    </tableColumn>
  </tableColumns>
  <tableStyleInfo name="TableStyleDark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0A000000}" name="LibraryTable11" displayName="LibraryTable11" ref="A1:J22" totalsRowShown="0">
  <autoFilter ref="A1:J22" xr:uid="{00000000-0009-0000-0100-000015000000}"/>
  <tableColumns count="10">
    <tableColumn id="1" xr3:uid="{00000000-0010-0000-0A00-000001000000}" name="Part Number"/>
    <tableColumn id="2" xr3:uid="{00000000-0010-0000-0A00-000002000000}" name="Description"/>
    <tableColumn id="3" xr3:uid="{00000000-0010-0000-0A00-000003000000}" name="Manufacturer"/>
    <tableColumn id="4" xr3:uid="{00000000-0010-0000-0A00-000004000000}" name="Package"/>
    <tableColumn id="5" xr3:uid="{00000000-0010-0000-0A00-000005000000}" name="Library Path"/>
    <tableColumn id="6" xr3:uid="{00000000-0010-0000-0A00-000006000000}" name="Library Ref"/>
    <tableColumn id="7" xr3:uid="{00000000-0010-0000-0A00-000007000000}" name="Footprint Path"/>
    <tableColumn id="8" xr3:uid="{00000000-0010-0000-0A00-000008000000}" name="Footprint Ref"/>
    <tableColumn id="9" xr3:uid="{00000000-0010-0000-0A00-000009000000}" name="UID"/>
    <tableColumn id="10" xr3:uid="{00000000-0010-0000-0A00-00000A000000}" name="PnP_Name"/>
  </tableColumns>
  <tableStyleInfo name="TableStyleDark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0D000000}" name="LibraryTable14" displayName="LibraryTable14" ref="A1:J2" totalsRowShown="0">
  <autoFilter ref="A1:J2" xr:uid="{00000000-0009-0000-0100-000018000000}"/>
  <tableColumns count="10">
    <tableColumn id="1" xr3:uid="{00000000-0010-0000-0D00-000001000000}" name="Part Number"/>
    <tableColumn id="2" xr3:uid="{00000000-0010-0000-0D00-000002000000}" name="Description"/>
    <tableColumn id="3" xr3:uid="{00000000-0010-0000-0D00-000003000000}" name="Manufacturer"/>
    <tableColumn id="4" xr3:uid="{00000000-0010-0000-0D00-000004000000}" name="Package"/>
    <tableColumn id="5" xr3:uid="{00000000-0010-0000-0D00-000005000000}" name="Library Path"/>
    <tableColumn id="6" xr3:uid="{00000000-0010-0000-0D00-000006000000}" name="Library Ref"/>
    <tableColumn id="7" xr3:uid="{00000000-0010-0000-0D00-000007000000}" name="Footprint Path"/>
    <tableColumn id="8" xr3:uid="{00000000-0010-0000-0D00-000008000000}" name="Footprint Ref"/>
    <tableColumn id="9" xr3:uid="{00000000-0010-0000-0D00-000009000000}" name="UID"/>
    <tableColumn id="10" xr3:uid="{00000000-0010-0000-0D00-00000A000000}" name="PnP_Name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8"/>
  <sheetViews>
    <sheetView showGridLines="0" topLeftCell="A18" zoomScale="85" zoomScaleNormal="85" workbookViewId="0">
      <selection activeCell="F61" sqref="F61"/>
    </sheetView>
  </sheetViews>
  <sheetFormatPr defaultColWidth="11.125" defaultRowHeight="15.75" x14ac:dyDescent="0.25"/>
  <cols>
    <col min="1" max="1" width="44.25" style="36" customWidth="1"/>
    <col min="2" max="2" width="66" style="36" customWidth="1"/>
    <col min="3" max="3" width="24" style="36" customWidth="1"/>
    <col min="4" max="4" width="9.5" style="36" customWidth="1"/>
    <col min="5" max="5" width="7.625" style="36" customWidth="1"/>
    <col min="6" max="6" width="11.125" style="36" customWidth="1"/>
    <col min="7" max="7" width="15.875" style="36" customWidth="1"/>
    <col min="8" max="8" width="10.75" style="36" customWidth="1"/>
    <col min="9" max="9" width="9" style="36" customWidth="1"/>
    <col min="10" max="10" width="24.875" style="36" customWidth="1"/>
    <col min="11" max="11" width="16.875" style="36" customWidth="1"/>
    <col min="12" max="12" width="26.375" style="36" customWidth="1"/>
    <col min="13" max="13" width="14.75" style="36" customWidth="1"/>
    <col min="14" max="14" width="26.375" style="36" customWidth="1"/>
    <col min="15" max="15" width="34.25" style="36" customWidth="1"/>
    <col min="16" max="16" width="22.5" style="36" customWidth="1"/>
    <col min="17" max="17" width="23.5" style="36" customWidth="1"/>
    <col min="18" max="16384" width="11.125" style="36"/>
  </cols>
  <sheetData>
    <row r="1" spans="1:15" ht="20.100000000000001" customHeight="1" x14ac:dyDescent="0.25">
      <c r="A1" s="36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6" t="s">
        <v>7</v>
      </c>
      <c r="I1" s="36" t="s">
        <v>8</v>
      </c>
      <c r="J1" s="36" t="s">
        <v>9</v>
      </c>
      <c r="K1" s="36" t="s">
        <v>10</v>
      </c>
      <c r="L1" s="36" t="s">
        <v>11</v>
      </c>
      <c r="M1" s="36" t="s">
        <v>12</v>
      </c>
      <c r="N1" s="36" t="s">
        <v>15</v>
      </c>
      <c r="O1" s="36" t="s">
        <v>16</v>
      </c>
    </row>
    <row r="2" spans="1:15" ht="20.100000000000001" customHeight="1" x14ac:dyDescent="0.25">
      <c r="A2" s="37" t="s">
        <v>17</v>
      </c>
      <c r="B2" s="36" t="s">
        <v>18</v>
      </c>
      <c r="C2" s="37" t="s">
        <v>604</v>
      </c>
      <c r="D2" s="36" t="s">
        <v>19</v>
      </c>
      <c r="E2" s="37" t="s">
        <v>20</v>
      </c>
      <c r="F2" s="36">
        <v>50</v>
      </c>
      <c r="G2" s="37" t="s">
        <v>21</v>
      </c>
      <c r="H2" s="37" t="s">
        <v>22</v>
      </c>
      <c r="I2" s="37" t="s">
        <v>23</v>
      </c>
      <c r="J2" s="36" t="s">
        <v>24</v>
      </c>
      <c r="K2" s="36" t="s">
        <v>25</v>
      </c>
      <c r="L2" s="36" t="s">
        <v>26</v>
      </c>
      <c r="M2" s="36" t="str">
        <f t="shared" ref="M2:M43" si="0">"C"&amp;D2</f>
        <v>C0402</v>
      </c>
      <c r="N2" s="36" t="str">
        <f t="shared" ref="N2:N13" si="1">"C-"&amp;D2&amp;"-"&amp;G2&amp;"-"&amp;F2&amp;"-"&amp;E2&amp;" "&amp;IF(H2="±0,03","A",IF(H2="±0,1","B",IF(H2="±0,25","C",IF(H2="±0,5","D",IF(H2="±1%","F",IF(H2="±2%","G",IF(H2="±5%","J",IF(H2="±10%","K",IF(H2="±20%","M","")))))))))</f>
        <v>C-0402-NP0-50-0.01uF J</v>
      </c>
      <c r="O2" s="36" t="str">
        <f t="shared" ref="O2:O41" si="2">N2</f>
        <v>C-0402-NP0-50-0.01uF J</v>
      </c>
    </row>
    <row r="3" spans="1:15" ht="20.100000000000001" customHeight="1" x14ac:dyDescent="0.25">
      <c r="A3" s="36" t="s">
        <v>27</v>
      </c>
      <c r="B3" s="36" t="s">
        <v>28</v>
      </c>
      <c r="C3" s="37" t="s">
        <v>604</v>
      </c>
      <c r="D3" s="36" t="s">
        <v>19</v>
      </c>
      <c r="E3" s="37" t="s">
        <v>29</v>
      </c>
      <c r="F3" s="36">
        <v>16</v>
      </c>
      <c r="G3" s="37" t="s">
        <v>30</v>
      </c>
      <c r="H3" s="37" t="s">
        <v>31</v>
      </c>
      <c r="I3" s="37" t="s">
        <v>23</v>
      </c>
      <c r="J3" s="36" t="s">
        <v>24</v>
      </c>
      <c r="K3" s="36" t="s">
        <v>25</v>
      </c>
      <c r="L3" s="36" t="s">
        <v>26</v>
      </c>
      <c r="M3" s="36" t="str">
        <f t="shared" si="0"/>
        <v>C0402</v>
      </c>
      <c r="N3" s="36" t="str">
        <f t="shared" si="1"/>
        <v>C-0402-X7R-16-0.068uF M</v>
      </c>
      <c r="O3" s="36" t="str">
        <f t="shared" si="2"/>
        <v>C-0402-X7R-16-0.068uF M</v>
      </c>
    </row>
    <row r="4" spans="1:15" ht="20.100000000000001" customHeight="1" x14ac:dyDescent="0.25">
      <c r="A4" s="36" t="s">
        <v>32</v>
      </c>
      <c r="B4" s="36" t="s">
        <v>1210</v>
      </c>
      <c r="C4" s="37" t="s">
        <v>604</v>
      </c>
      <c r="D4" s="36" t="s">
        <v>19</v>
      </c>
      <c r="E4" s="37" t="s">
        <v>33</v>
      </c>
      <c r="F4" s="37">
        <v>16</v>
      </c>
      <c r="G4" s="37" t="s">
        <v>30</v>
      </c>
      <c r="H4" s="37" t="s">
        <v>34</v>
      </c>
      <c r="I4" s="37" t="s">
        <v>23</v>
      </c>
      <c r="J4" s="36" t="s">
        <v>24</v>
      </c>
      <c r="K4" s="36" t="s">
        <v>25</v>
      </c>
      <c r="L4" s="36" t="s">
        <v>26</v>
      </c>
      <c r="M4" s="36" t="str">
        <f t="shared" si="0"/>
        <v>C0402</v>
      </c>
      <c r="N4" s="36" t="str">
        <f t="shared" si="1"/>
        <v>C-0402-X7R-16-0.1uF K</v>
      </c>
      <c r="O4" s="36" t="str">
        <f t="shared" si="2"/>
        <v>C-0402-X7R-16-0.1uF K</v>
      </c>
    </row>
    <row r="5" spans="1:15" ht="20.100000000000001" customHeight="1" x14ac:dyDescent="0.25">
      <c r="A5" s="36" t="s">
        <v>35</v>
      </c>
      <c r="B5" s="36" t="s">
        <v>36</v>
      </c>
      <c r="C5" s="37" t="s">
        <v>604</v>
      </c>
      <c r="D5" s="36" t="s">
        <v>19</v>
      </c>
      <c r="E5" s="36" t="s">
        <v>33</v>
      </c>
      <c r="F5" s="36">
        <v>50</v>
      </c>
      <c r="G5" s="36" t="s">
        <v>37</v>
      </c>
      <c r="H5" s="37" t="s">
        <v>34</v>
      </c>
      <c r="I5" s="36" t="s">
        <v>23</v>
      </c>
      <c r="J5" s="36" t="s">
        <v>24</v>
      </c>
      <c r="K5" s="36" t="s">
        <v>25</v>
      </c>
      <c r="L5" s="36" t="s">
        <v>26</v>
      </c>
      <c r="M5" s="36" t="str">
        <f t="shared" si="0"/>
        <v>C0402</v>
      </c>
      <c r="N5" s="36" t="str">
        <f t="shared" si="1"/>
        <v>C-0402-X5R-50-0.1uF K</v>
      </c>
      <c r="O5" s="36" t="str">
        <f t="shared" si="2"/>
        <v>C-0402-X5R-50-0.1uF K</v>
      </c>
    </row>
    <row r="6" spans="1:15" ht="20.100000000000001" customHeight="1" x14ac:dyDescent="0.25">
      <c r="A6" s="36" t="s">
        <v>38</v>
      </c>
      <c r="B6" s="36" t="s">
        <v>39</v>
      </c>
      <c r="C6" s="37" t="s">
        <v>604</v>
      </c>
      <c r="D6" s="36" t="s">
        <v>19</v>
      </c>
      <c r="E6" s="37" t="s">
        <v>33</v>
      </c>
      <c r="F6" s="36">
        <v>16</v>
      </c>
      <c r="G6" s="37" t="s">
        <v>37</v>
      </c>
      <c r="H6" s="37" t="s">
        <v>34</v>
      </c>
      <c r="I6" s="37" t="s">
        <v>23</v>
      </c>
      <c r="J6" s="36" t="s">
        <v>24</v>
      </c>
      <c r="K6" s="36" t="s">
        <v>25</v>
      </c>
      <c r="L6" s="36" t="s">
        <v>26</v>
      </c>
      <c r="M6" s="36" t="str">
        <f t="shared" si="0"/>
        <v>C0402</v>
      </c>
      <c r="N6" s="36" t="str">
        <f t="shared" si="1"/>
        <v>C-0402-X5R-16-0.1uF K</v>
      </c>
      <c r="O6" s="36" t="str">
        <f t="shared" si="2"/>
        <v>C-0402-X5R-16-0.1uF K</v>
      </c>
    </row>
    <row r="7" spans="1:15" ht="20.100000000000001" customHeight="1" x14ac:dyDescent="0.25">
      <c r="A7" s="36" t="s">
        <v>40</v>
      </c>
      <c r="B7" s="36" t="s">
        <v>41</v>
      </c>
      <c r="C7" s="37" t="s">
        <v>604</v>
      </c>
      <c r="D7" s="36" t="s">
        <v>19</v>
      </c>
      <c r="E7" s="37" t="s">
        <v>42</v>
      </c>
      <c r="F7" s="36">
        <v>16</v>
      </c>
      <c r="G7" s="37" t="s">
        <v>37</v>
      </c>
      <c r="H7" s="37" t="s">
        <v>31</v>
      </c>
      <c r="I7" s="37" t="s">
        <v>23</v>
      </c>
      <c r="J7" s="36" t="s">
        <v>24</v>
      </c>
      <c r="K7" s="36" t="s">
        <v>25</v>
      </c>
      <c r="L7" s="36" t="s">
        <v>26</v>
      </c>
      <c r="M7" s="36" t="str">
        <f t="shared" si="0"/>
        <v>C0402</v>
      </c>
      <c r="N7" s="36" t="str">
        <f t="shared" si="1"/>
        <v>C-0402-X5R-16-0.22uF M</v>
      </c>
      <c r="O7" s="36" t="str">
        <f t="shared" si="2"/>
        <v>C-0402-X5R-16-0.22uF M</v>
      </c>
    </row>
    <row r="8" spans="1:15" ht="20.100000000000001" customHeight="1" x14ac:dyDescent="0.25">
      <c r="A8" s="36" t="s">
        <v>43</v>
      </c>
      <c r="B8" s="36" t="s">
        <v>44</v>
      </c>
      <c r="C8" s="36" t="s">
        <v>45</v>
      </c>
      <c r="D8" s="36">
        <v>2220</v>
      </c>
      <c r="E8" s="37" t="s">
        <v>46</v>
      </c>
      <c r="F8" s="36">
        <v>50</v>
      </c>
      <c r="G8" s="37" t="s">
        <v>21</v>
      </c>
      <c r="H8" s="37" t="s">
        <v>22</v>
      </c>
      <c r="I8" s="37" t="s">
        <v>23</v>
      </c>
      <c r="J8" s="36" t="s">
        <v>24</v>
      </c>
      <c r="K8" s="36" t="s">
        <v>25</v>
      </c>
      <c r="L8" s="36" t="s">
        <v>26</v>
      </c>
      <c r="M8" s="36" t="str">
        <f t="shared" si="0"/>
        <v>C2220</v>
      </c>
      <c r="N8" s="36" t="str">
        <f t="shared" si="1"/>
        <v>C-2220-NP0-50-0.47uF J</v>
      </c>
      <c r="O8" s="36" t="str">
        <f t="shared" si="2"/>
        <v>C-2220-NP0-50-0.47uF J</v>
      </c>
    </row>
    <row r="9" spans="1:15" ht="20.100000000000001" customHeight="1" x14ac:dyDescent="0.25">
      <c r="A9" s="36" t="s">
        <v>47</v>
      </c>
      <c r="B9" s="36" t="s">
        <v>41</v>
      </c>
      <c r="C9" s="37" t="s">
        <v>604</v>
      </c>
      <c r="D9" s="36" t="s">
        <v>19</v>
      </c>
      <c r="E9" s="37" t="s">
        <v>46</v>
      </c>
      <c r="F9" s="36">
        <v>16</v>
      </c>
      <c r="G9" s="37" t="s">
        <v>37</v>
      </c>
      <c r="H9" s="37" t="s">
        <v>31</v>
      </c>
      <c r="I9" s="37" t="s">
        <v>23</v>
      </c>
      <c r="J9" s="36" t="s">
        <v>24</v>
      </c>
      <c r="K9" s="36" t="s">
        <v>25</v>
      </c>
      <c r="L9" s="36" t="s">
        <v>26</v>
      </c>
      <c r="M9" s="36" t="str">
        <f t="shared" si="0"/>
        <v>C0402</v>
      </c>
      <c r="N9" s="36" t="str">
        <f t="shared" si="1"/>
        <v>C-0402-X5R-16-0.47uF M</v>
      </c>
      <c r="O9" s="36" t="str">
        <f t="shared" si="2"/>
        <v>C-0402-X5R-16-0.47uF M</v>
      </c>
    </row>
    <row r="10" spans="1:15" ht="20.100000000000001" customHeight="1" x14ac:dyDescent="0.25">
      <c r="A10" s="36" t="s">
        <v>48</v>
      </c>
      <c r="B10" s="36" t="s">
        <v>49</v>
      </c>
      <c r="C10" s="37" t="s">
        <v>604</v>
      </c>
      <c r="D10" s="36" t="s">
        <v>19</v>
      </c>
      <c r="E10" s="37" t="s">
        <v>50</v>
      </c>
      <c r="F10" s="37">
        <v>50</v>
      </c>
      <c r="G10" s="37" t="s">
        <v>21</v>
      </c>
      <c r="H10" s="37" t="s">
        <v>22</v>
      </c>
      <c r="I10" s="37" t="s">
        <v>23</v>
      </c>
      <c r="J10" s="36" t="s">
        <v>24</v>
      </c>
      <c r="K10" s="36" t="s">
        <v>25</v>
      </c>
      <c r="L10" s="36" t="s">
        <v>26</v>
      </c>
      <c r="M10" s="36" t="str">
        <f t="shared" si="0"/>
        <v>C0402</v>
      </c>
      <c r="N10" s="36" t="str">
        <f t="shared" si="1"/>
        <v>C-0402-NP0-50-1000pF J</v>
      </c>
      <c r="O10" s="36" t="str">
        <f t="shared" si="2"/>
        <v>C-0402-NP0-50-1000pF J</v>
      </c>
    </row>
    <row r="11" spans="1:15" ht="20.100000000000001" customHeight="1" x14ac:dyDescent="0.25">
      <c r="A11" s="36" t="s">
        <v>51</v>
      </c>
      <c r="B11" s="36" t="s">
        <v>52</v>
      </c>
      <c r="C11" s="37" t="s">
        <v>604</v>
      </c>
      <c r="D11" s="36" t="s">
        <v>19</v>
      </c>
      <c r="E11" s="36" t="s">
        <v>53</v>
      </c>
      <c r="F11" s="36">
        <v>50</v>
      </c>
      <c r="G11" s="37" t="s">
        <v>21</v>
      </c>
      <c r="H11" s="37" t="s">
        <v>54</v>
      </c>
      <c r="I11" s="37" t="s">
        <v>23</v>
      </c>
      <c r="J11" s="36" t="s">
        <v>24</v>
      </c>
      <c r="K11" s="36" t="s">
        <v>25</v>
      </c>
      <c r="L11" s="36" t="s">
        <v>26</v>
      </c>
      <c r="M11" s="36" t="str">
        <f t="shared" si="0"/>
        <v>C0402</v>
      </c>
      <c r="N11" s="36" t="str">
        <f t="shared" si="1"/>
        <v>C-0402-NP0-50-100pF G</v>
      </c>
      <c r="O11" s="36" t="str">
        <f t="shared" si="2"/>
        <v>C-0402-NP0-50-100pF G</v>
      </c>
    </row>
    <row r="12" spans="1:15" ht="20.100000000000001" customHeight="1" x14ac:dyDescent="0.25">
      <c r="A12" s="36" t="s">
        <v>55</v>
      </c>
      <c r="B12" s="36" t="s">
        <v>56</v>
      </c>
      <c r="C12" s="37" t="s">
        <v>604</v>
      </c>
      <c r="D12" s="36" t="s">
        <v>19</v>
      </c>
      <c r="E12" s="37" t="s">
        <v>57</v>
      </c>
      <c r="F12" s="36">
        <v>50</v>
      </c>
      <c r="G12" s="37" t="s">
        <v>21</v>
      </c>
      <c r="H12" s="37" t="s">
        <v>22</v>
      </c>
      <c r="I12" s="37" t="s">
        <v>23</v>
      </c>
      <c r="J12" s="36" t="s">
        <v>24</v>
      </c>
      <c r="K12" s="36" t="s">
        <v>25</v>
      </c>
      <c r="L12" s="36" t="s">
        <v>26</v>
      </c>
      <c r="M12" s="36" t="str">
        <f t="shared" si="0"/>
        <v>C0402</v>
      </c>
      <c r="N12" s="36" t="str">
        <f t="shared" si="1"/>
        <v>C-0402-NP0-50-10pF J</v>
      </c>
      <c r="O12" s="36" t="str">
        <f t="shared" si="2"/>
        <v>C-0402-NP0-50-10pF J</v>
      </c>
    </row>
    <row r="13" spans="1:15" ht="20.100000000000001" customHeight="1" x14ac:dyDescent="0.25">
      <c r="A13" s="36" t="s">
        <v>58</v>
      </c>
      <c r="B13" s="36" t="s">
        <v>59</v>
      </c>
      <c r="C13" s="37" t="s">
        <v>604</v>
      </c>
      <c r="D13" s="36" t="s">
        <v>60</v>
      </c>
      <c r="E13" s="36" t="s">
        <v>61</v>
      </c>
      <c r="F13" s="36">
        <v>50</v>
      </c>
      <c r="G13" s="36" t="s">
        <v>37</v>
      </c>
      <c r="H13" s="37" t="s">
        <v>34</v>
      </c>
      <c r="I13" s="37" t="s">
        <v>23</v>
      </c>
      <c r="J13" s="36" t="s">
        <v>24</v>
      </c>
      <c r="K13" s="36" t="s">
        <v>25</v>
      </c>
      <c r="L13" s="36" t="s">
        <v>26</v>
      </c>
      <c r="M13" s="36" t="str">
        <f t="shared" si="0"/>
        <v>C0805</v>
      </c>
      <c r="N13" s="36" t="str">
        <f t="shared" si="1"/>
        <v>C-0805-X5R-50-10uF K</v>
      </c>
      <c r="O13" s="36" t="str">
        <f t="shared" si="2"/>
        <v>C-0805-X5R-50-10uF K</v>
      </c>
    </row>
    <row r="14" spans="1:15" ht="20.100000000000001" customHeight="1" x14ac:dyDescent="0.25">
      <c r="A14" s="36" t="s">
        <v>62</v>
      </c>
      <c r="B14" s="36" t="s">
        <v>63</v>
      </c>
      <c r="C14" s="36" t="s">
        <v>45</v>
      </c>
      <c r="D14" s="36">
        <v>1206</v>
      </c>
      <c r="E14" s="36" t="s">
        <v>61</v>
      </c>
      <c r="F14" s="36">
        <v>10</v>
      </c>
      <c r="G14" s="36" t="s">
        <v>1292</v>
      </c>
      <c r="I14" s="37" t="s">
        <v>1211</v>
      </c>
      <c r="J14" s="36" t="s">
        <v>24</v>
      </c>
      <c r="K14" s="36" t="s">
        <v>64</v>
      </c>
      <c r="L14" s="36" t="s">
        <v>26</v>
      </c>
      <c r="M14" s="36" t="str">
        <f t="shared" si="0"/>
        <v>C1206</v>
      </c>
      <c r="N14" s="36" t="s">
        <v>65</v>
      </c>
      <c r="O14" s="36" t="str">
        <f t="shared" si="2"/>
        <v>C-A-10-10uF K</v>
      </c>
    </row>
    <row r="15" spans="1:15" ht="20.100000000000001" customHeight="1" x14ac:dyDescent="0.25">
      <c r="A15" s="36" t="s">
        <v>66</v>
      </c>
      <c r="B15" s="36" t="s">
        <v>67</v>
      </c>
      <c r="C15" s="37" t="s">
        <v>604</v>
      </c>
      <c r="D15" s="36" t="s">
        <v>19</v>
      </c>
      <c r="E15" s="36" t="s">
        <v>61</v>
      </c>
      <c r="F15" s="38" t="s">
        <v>68</v>
      </c>
      <c r="G15" s="37" t="s">
        <v>37</v>
      </c>
      <c r="H15" s="37" t="s">
        <v>31</v>
      </c>
      <c r="I15" s="37" t="s">
        <v>23</v>
      </c>
      <c r="J15" s="36" t="s">
        <v>24</v>
      </c>
      <c r="K15" s="36" t="s">
        <v>25</v>
      </c>
      <c r="L15" s="36" t="s">
        <v>26</v>
      </c>
      <c r="M15" s="36" t="str">
        <f t="shared" si="0"/>
        <v>C0402</v>
      </c>
      <c r="N15" s="36" t="str">
        <f>"C-"&amp;D15&amp;"-"&amp;G15&amp;"-"&amp;F15&amp;"-"&amp;E15&amp;" "&amp;IF(H15="±0,03","A",IF(H15="±0,1","B",IF(H15="±0,25","C",IF(H15="±0,5","D",IF(H15="±1%","F",IF(H15="±2%","G",IF(H15="±5%","J",IF(H15="±10%","K",IF(H15="±20%","M","")))))))))</f>
        <v>C-0402-X5R-6.3-10uF M</v>
      </c>
      <c r="O15" s="36" t="str">
        <f t="shared" si="2"/>
        <v>C-0402-X5R-6.3-10uF M</v>
      </c>
    </row>
    <row r="16" spans="1:15" ht="20.100000000000001" customHeight="1" x14ac:dyDescent="0.25">
      <c r="A16" s="36" t="s">
        <v>69</v>
      </c>
      <c r="B16" s="36" t="s">
        <v>70</v>
      </c>
      <c r="C16" s="37" t="s">
        <v>604</v>
      </c>
      <c r="D16" s="36" t="s">
        <v>19</v>
      </c>
      <c r="E16" s="37" t="s">
        <v>71</v>
      </c>
      <c r="F16" s="36">
        <v>50</v>
      </c>
      <c r="G16" s="36" t="s">
        <v>30</v>
      </c>
      <c r="H16" s="37" t="s">
        <v>22</v>
      </c>
      <c r="I16" s="37" t="s">
        <v>23</v>
      </c>
      <c r="J16" s="36" t="s">
        <v>24</v>
      </c>
      <c r="K16" s="36" t="s">
        <v>25</v>
      </c>
      <c r="L16" s="36" t="s">
        <v>26</v>
      </c>
      <c r="M16" s="36" t="str">
        <f t="shared" si="0"/>
        <v>C0402</v>
      </c>
      <c r="N16" s="36" t="str">
        <f>"C-"&amp;D16&amp;"-"&amp;G16&amp;"-"&amp;F16&amp;"-"&amp;E16&amp;" "&amp;IF(H16="±0,03","A",IF(H16="±0,1","B",IF(H16="±0,25","C",IF(H16="±0,5","D",IF(H16="±1%","F",IF(H16="±2%","G",IF(H16="±5%","J",IF(H16="±10%","K",IF(H16="±20%","M","")))))))))</f>
        <v>C-0402-X7R-50-1500pF J</v>
      </c>
      <c r="O16" s="36" t="str">
        <f t="shared" si="2"/>
        <v>C-0402-X7R-50-1500pF J</v>
      </c>
    </row>
    <row r="17" spans="1:15" ht="20.100000000000001" customHeight="1" x14ac:dyDescent="0.25">
      <c r="A17" s="36" t="s">
        <v>72</v>
      </c>
      <c r="B17" s="36" t="s">
        <v>73</v>
      </c>
      <c r="C17" s="37" t="s">
        <v>604</v>
      </c>
      <c r="D17" s="36" t="s">
        <v>19</v>
      </c>
      <c r="E17" s="37" t="s">
        <v>74</v>
      </c>
      <c r="F17" s="36">
        <v>25</v>
      </c>
      <c r="G17" s="37" t="s">
        <v>30</v>
      </c>
      <c r="H17" s="37" t="s">
        <v>34</v>
      </c>
      <c r="I17" s="37" t="s">
        <v>23</v>
      </c>
      <c r="J17" s="36" t="s">
        <v>24</v>
      </c>
      <c r="K17" s="36" t="s">
        <v>25</v>
      </c>
      <c r="L17" s="36" t="s">
        <v>26</v>
      </c>
      <c r="M17" s="36" t="str">
        <f t="shared" si="0"/>
        <v>C0402</v>
      </c>
      <c r="N17" s="36" t="str">
        <f>"C-"&amp;D17&amp;"-"&amp;G17&amp;"-"&amp;F17&amp;"-"&amp;E17&amp;" "&amp;IF(H17="±0,03","A",IF(H17="±0,1","B",IF(H17="±0,25","C",IF(H17="±0,5","D",IF(H17="±1%","F",IF(H17="±2%","G",IF(H17="±5%","J",IF(H17="±10%","K",IF(H17="±20%","M","")))))))))</f>
        <v>C-0402-X7R-25-1800pF K</v>
      </c>
      <c r="O17" s="36" t="str">
        <f t="shared" si="2"/>
        <v>C-0402-X7R-25-1800pF K</v>
      </c>
    </row>
    <row r="18" spans="1:15" ht="20.100000000000001" customHeight="1" x14ac:dyDescent="0.25">
      <c r="A18" s="36" t="s">
        <v>75</v>
      </c>
      <c r="B18" s="36" t="s">
        <v>76</v>
      </c>
      <c r="C18" s="37" t="s">
        <v>604</v>
      </c>
      <c r="D18" s="36" t="s">
        <v>19</v>
      </c>
      <c r="E18" s="37" t="s">
        <v>77</v>
      </c>
      <c r="F18" s="36">
        <v>25</v>
      </c>
      <c r="G18" s="37" t="s">
        <v>37</v>
      </c>
      <c r="H18" s="37" t="s">
        <v>31</v>
      </c>
      <c r="I18" s="37" t="s">
        <v>23</v>
      </c>
      <c r="J18" s="36" t="s">
        <v>24</v>
      </c>
      <c r="K18" s="36" t="s">
        <v>25</v>
      </c>
      <c r="L18" s="36" t="s">
        <v>26</v>
      </c>
      <c r="M18" s="36" t="str">
        <f t="shared" si="0"/>
        <v>C0402</v>
      </c>
      <c r="N18" s="36" t="str">
        <f>"C-"&amp;D18&amp;"-"&amp;G18&amp;"-"&amp;F18&amp;"-"&amp;E18&amp;" "&amp;IF(H18="±0,03","A",IF(H18="±0,1","B",IF(H18="±0,25","C",IF(H18="±0,5","D",IF(H18="±1%","F",IF(H18="±2%","G",IF(H18="±5%","J",IF(H18="±10%","K",IF(H18="±20%","M","")))))))))</f>
        <v>C-0402-X5R-25-1uF M</v>
      </c>
      <c r="O18" s="36" t="str">
        <f t="shared" si="2"/>
        <v>C-0402-X5R-25-1uF M</v>
      </c>
    </row>
    <row r="19" spans="1:15" ht="20.100000000000001" customHeight="1" x14ac:dyDescent="0.25">
      <c r="A19" s="36" t="s">
        <v>78</v>
      </c>
      <c r="B19" s="36" t="s">
        <v>79</v>
      </c>
      <c r="C19" s="37" t="s">
        <v>604</v>
      </c>
      <c r="D19" s="36" t="s">
        <v>19</v>
      </c>
      <c r="E19" s="37" t="s">
        <v>80</v>
      </c>
      <c r="F19" s="36">
        <v>50</v>
      </c>
      <c r="G19" s="37" t="s">
        <v>30</v>
      </c>
      <c r="H19" s="37" t="s">
        <v>34</v>
      </c>
      <c r="I19" s="37" t="s">
        <v>23</v>
      </c>
      <c r="J19" s="36" t="s">
        <v>24</v>
      </c>
      <c r="K19" s="36" t="s">
        <v>25</v>
      </c>
      <c r="L19" s="36" t="s">
        <v>26</v>
      </c>
      <c r="M19" s="36" t="str">
        <f t="shared" si="0"/>
        <v>C0402</v>
      </c>
      <c r="N19" s="36" t="str">
        <f>"C-"&amp;D19&amp;"-"&amp;G19&amp;"-"&amp;F19&amp;"-"&amp;E19&amp;" "&amp;IF(H19="±0,03","A",IF(H19="±0,1","B",IF(H19="±0,25","C",IF(H19="±0,5","D",IF(H19="±1%","F",IF(H19="±2%","G",IF(H19="±5%","J",IF(H19="±10%","K",IF(H19="±20%","M","")))))))))</f>
        <v>C-0402-X7R-50-2200pF K</v>
      </c>
      <c r="O19" s="36" t="str">
        <f t="shared" si="2"/>
        <v>C-0402-X7R-50-2200pF K</v>
      </c>
    </row>
    <row r="20" spans="1:15" ht="20.100000000000001" customHeight="1" x14ac:dyDescent="0.25">
      <c r="A20" s="37" t="s">
        <v>81</v>
      </c>
      <c r="B20" s="36" t="s">
        <v>82</v>
      </c>
      <c r="C20" s="37" t="s">
        <v>83</v>
      </c>
      <c r="D20" s="36" t="s">
        <v>84</v>
      </c>
      <c r="E20" s="37" t="s">
        <v>85</v>
      </c>
      <c r="F20" s="36">
        <v>50</v>
      </c>
      <c r="G20" s="36" t="s">
        <v>1292</v>
      </c>
      <c r="H20" s="37" t="s">
        <v>31</v>
      </c>
      <c r="I20" s="36" t="s">
        <v>86</v>
      </c>
      <c r="J20" s="36" t="s">
        <v>24</v>
      </c>
      <c r="K20" s="36" t="s">
        <v>64</v>
      </c>
      <c r="L20" s="36" t="s">
        <v>26</v>
      </c>
      <c r="M20" s="36" t="str">
        <f t="shared" si="0"/>
        <v>C10x10</v>
      </c>
      <c r="N20" s="37" t="s">
        <v>87</v>
      </c>
      <c r="O20" s="36" t="str">
        <f t="shared" si="2"/>
        <v>C-UUD1H221MNL1GS</v>
      </c>
    </row>
    <row r="21" spans="1:15" ht="20.100000000000001" customHeight="1" x14ac:dyDescent="0.25">
      <c r="A21" s="36" t="s">
        <v>88</v>
      </c>
      <c r="B21" s="36" t="s">
        <v>89</v>
      </c>
      <c r="C21" s="37" t="s">
        <v>604</v>
      </c>
      <c r="D21" s="36" t="s">
        <v>90</v>
      </c>
      <c r="E21" s="37" t="s">
        <v>91</v>
      </c>
      <c r="F21" s="36">
        <v>16</v>
      </c>
      <c r="G21" s="37" t="s">
        <v>37</v>
      </c>
      <c r="H21" s="37" t="s">
        <v>31</v>
      </c>
      <c r="I21" s="37" t="s">
        <v>23</v>
      </c>
      <c r="J21" s="36" t="s">
        <v>24</v>
      </c>
      <c r="K21" s="36" t="s">
        <v>25</v>
      </c>
      <c r="L21" s="36" t="s">
        <v>26</v>
      </c>
      <c r="M21" s="36" t="str">
        <f t="shared" si="0"/>
        <v>C0603</v>
      </c>
      <c r="N21" s="36" t="str">
        <f t="shared" ref="N21:N26" si="3">"C-"&amp;D21&amp;"-"&amp;G21&amp;"-"&amp;F21&amp;"-"&amp;E21&amp;" "&amp;IF(H21="±0,03","A",IF(H21="±0,1","B",IF(H21="±0,25","C",IF(H21="±0,5","D",IF(H21="±1%","F",IF(H21="±2%","G",IF(H21="±5%","J",IF(H21="±10%","K",IF(H21="±20%","M","")))))))))</f>
        <v>C-0603-X5R-16-22uF M</v>
      </c>
      <c r="O21" s="36" t="str">
        <f t="shared" si="2"/>
        <v>C-0603-X5R-16-22uF M</v>
      </c>
    </row>
    <row r="22" spans="1:15" ht="20.100000000000001" customHeight="1" x14ac:dyDescent="0.25">
      <c r="A22" s="36" t="s">
        <v>92</v>
      </c>
      <c r="B22" s="36" t="s">
        <v>93</v>
      </c>
      <c r="C22" s="37" t="s">
        <v>604</v>
      </c>
      <c r="D22" s="36" t="s">
        <v>19</v>
      </c>
      <c r="E22" s="37" t="s">
        <v>94</v>
      </c>
      <c r="F22" s="36">
        <v>50</v>
      </c>
      <c r="G22" s="37" t="s">
        <v>30</v>
      </c>
      <c r="H22" s="37" t="s">
        <v>34</v>
      </c>
      <c r="I22" s="37" t="s">
        <v>23</v>
      </c>
      <c r="J22" s="36" t="s">
        <v>24</v>
      </c>
      <c r="K22" s="36" t="s">
        <v>25</v>
      </c>
      <c r="L22" s="36" t="s">
        <v>26</v>
      </c>
      <c r="M22" s="36" t="str">
        <f t="shared" si="0"/>
        <v>C0402</v>
      </c>
      <c r="N22" s="36" t="str">
        <f t="shared" si="3"/>
        <v>C-0402-X7R-50-3300pF K</v>
      </c>
      <c r="O22" s="36" t="str">
        <f t="shared" si="2"/>
        <v>C-0402-X7R-50-3300pF K</v>
      </c>
    </row>
    <row r="23" spans="1:15" ht="20.100000000000001" customHeight="1" x14ac:dyDescent="0.25">
      <c r="A23" s="36" t="s">
        <v>95</v>
      </c>
      <c r="B23" s="36" t="s">
        <v>96</v>
      </c>
      <c r="C23" s="37" t="s">
        <v>604</v>
      </c>
      <c r="D23" s="36" t="s">
        <v>19</v>
      </c>
      <c r="E23" s="37" t="s">
        <v>97</v>
      </c>
      <c r="F23" s="36">
        <v>50</v>
      </c>
      <c r="G23" s="37" t="s">
        <v>21</v>
      </c>
      <c r="H23" s="37" t="s">
        <v>22</v>
      </c>
      <c r="I23" s="37" t="s">
        <v>23</v>
      </c>
      <c r="J23" s="36" t="s">
        <v>24</v>
      </c>
      <c r="K23" s="36" t="s">
        <v>25</v>
      </c>
      <c r="L23" s="36" t="s">
        <v>26</v>
      </c>
      <c r="M23" s="36" t="str">
        <f t="shared" si="0"/>
        <v>C0402</v>
      </c>
      <c r="N23" s="36" t="str">
        <f t="shared" si="3"/>
        <v>C-0402-NP0-50-390pF J</v>
      </c>
      <c r="O23" s="36" t="str">
        <f t="shared" si="2"/>
        <v>C-0402-NP0-50-390pF J</v>
      </c>
    </row>
    <row r="24" spans="1:15" ht="20.100000000000001" customHeight="1" x14ac:dyDescent="0.25">
      <c r="A24" s="36" t="s">
        <v>98</v>
      </c>
      <c r="B24" s="36" t="s">
        <v>99</v>
      </c>
      <c r="C24" s="37" t="s">
        <v>604</v>
      </c>
      <c r="D24" s="36" t="s">
        <v>19</v>
      </c>
      <c r="E24" s="37" t="s">
        <v>100</v>
      </c>
      <c r="F24" s="36">
        <v>50</v>
      </c>
      <c r="G24" s="37" t="s">
        <v>21</v>
      </c>
      <c r="H24" s="37" t="s">
        <v>22</v>
      </c>
      <c r="I24" s="37" t="s">
        <v>23</v>
      </c>
      <c r="J24" s="36" t="s">
        <v>24</v>
      </c>
      <c r="K24" s="36" t="s">
        <v>25</v>
      </c>
      <c r="L24" s="36" t="s">
        <v>26</v>
      </c>
      <c r="M24" s="36" t="str">
        <f t="shared" si="0"/>
        <v>C0402</v>
      </c>
      <c r="N24" s="36" t="str">
        <f t="shared" si="3"/>
        <v>C-0402-NP0-50-39pF J</v>
      </c>
      <c r="O24" s="36" t="str">
        <f t="shared" si="2"/>
        <v>C-0402-NP0-50-39pF J</v>
      </c>
    </row>
    <row r="25" spans="1:15" ht="20.100000000000001" customHeight="1" x14ac:dyDescent="0.25">
      <c r="A25" s="36" t="s">
        <v>101</v>
      </c>
      <c r="B25" s="36" t="s">
        <v>102</v>
      </c>
      <c r="C25" s="37" t="s">
        <v>604</v>
      </c>
      <c r="D25" s="36" t="s">
        <v>19</v>
      </c>
      <c r="E25" s="37" t="s">
        <v>103</v>
      </c>
      <c r="F25" s="36">
        <v>50</v>
      </c>
      <c r="G25" s="37" t="s">
        <v>30</v>
      </c>
      <c r="H25" s="37" t="s">
        <v>34</v>
      </c>
      <c r="I25" s="37" t="s">
        <v>23</v>
      </c>
      <c r="J25" s="36" t="s">
        <v>24</v>
      </c>
      <c r="K25" s="36" t="s">
        <v>25</v>
      </c>
      <c r="L25" s="36" t="s">
        <v>26</v>
      </c>
      <c r="M25" s="36" t="str">
        <f t="shared" si="0"/>
        <v>C0402</v>
      </c>
      <c r="N25" s="36" t="str">
        <f t="shared" si="3"/>
        <v>C-0402-X7R-50-4700pF K</v>
      </c>
      <c r="O25" s="36" t="str">
        <f t="shared" si="2"/>
        <v>C-0402-X7R-50-4700pF K</v>
      </c>
    </row>
    <row r="26" spans="1:15" ht="20.100000000000001" customHeight="1" x14ac:dyDescent="0.25">
      <c r="A26" s="36" t="s">
        <v>104</v>
      </c>
      <c r="B26" s="36" t="s">
        <v>105</v>
      </c>
      <c r="C26" s="37" t="s">
        <v>604</v>
      </c>
      <c r="D26" s="36" t="s">
        <v>90</v>
      </c>
      <c r="E26" s="37" t="s">
        <v>106</v>
      </c>
      <c r="F26" s="39" t="s">
        <v>68</v>
      </c>
      <c r="G26" s="37" t="s">
        <v>37</v>
      </c>
      <c r="H26" s="37" t="s">
        <v>31</v>
      </c>
      <c r="I26" s="37" t="s">
        <v>23</v>
      </c>
      <c r="J26" s="36" t="s">
        <v>24</v>
      </c>
      <c r="K26" s="36" t="s">
        <v>25</v>
      </c>
      <c r="L26" s="36" t="s">
        <v>26</v>
      </c>
      <c r="M26" s="36" t="str">
        <f t="shared" si="0"/>
        <v>C0603</v>
      </c>
      <c r="N26" s="36" t="str">
        <f t="shared" si="3"/>
        <v>C-0603-X5R-6.3-47uF M</v>
      </c>
      <c r="O26" s="36" t="str">
        <f t="shared" si="2"/>
        <v>C-0603-X5R-6.3-47uF M</v>
      </c>
    </row>
    <row r="27" spans="1:15" ht="20.100000000000001" customHeight="1" x14ac:dyDescent="0.25">
      <c r="A27" s="36" t="s">
        <v>107</v>
      </c>
      <c r="B27" s="36" t="s">
        <v>108</v>
      </c>
      <c r="C27" s="37" t="s">
        <v>83</v>
      </c>
      <c r="D27" s="36" t="s">
        <v>109</v>
      </c>
      <c r="E27" s="36" t="s">
        <v>110</v>
      </c>
      <c r="F27" s="37">
        <v>35</v>
      </c>
      <c r="G27" s="36" t="s">
        <v>1292</v>
      </c>
      <c r="H27" s="37" t="s">
        <v>31</v>
      </c>
      <c r="I27" s="36" t="s">
        <v>1293</v>
      </c>
      <c r="J27" s="36" t="s">
        <v>24</v>
      </c>
      <c r="K27" s="36" t="s">
        <v>64</v>
      </c>
      <c r="L27" s="36" t="s">
        <v>26</v>
      </c>
      <c r="M27" s="36" t="str">
        <f t="shared" si="0"/>
        <v>C6.3x7.7</v>
      </c>
      <c r="N27" s="37" t="s">
        <v>111</v>
      </c>
      <c r="O27" s="36" t="str">
        <f t="shared" si="2"/>
        <v>C-UUD1V680MCL1GS</v>
      </c>
    </row>
    <row r="28" spans="1:15" ht="20.100000000000001" customHeight="1" x14ac:dyDescent="0.25">
      <c r="A28" s="36" t="s">
        <v>112</v>
      </c>
      <c r="B28" s="36" t="s">
        <v>113</v>
      </c>
      <c r="C28" s="37" t="s">
        <v>604</v>
      </c>
      <c r="D28" s="36" t="s">
        <v>19</v>
      </c>
      <c r="E28" s="37" t="s">
        <v>114</v>
      </c>
      <c r="F28" s="36">
        <v>50</v>
      </c>
      <c r="G28" s="37" t="s">
        <v>30</v>
      </c>
      <c r="H28" s="37" t="s">
        <v>34</v>
      </c>
      <c r="I28" s="37" t="s">
        <v>23</v>
      </c>
      <c r="J28" s="36" t="s">
        <v>24</v>
      </c>
      <c r="K28" s="36" t="s">
        <v>25</v>
      </c>
      <c r="L28" s="36" t="s">
        <v>26</v>
      </c>
      <c r="M28" s="36" t="str">
        <f t="shared" si="0"/>
        <v>C0402</v>
      </c>
      <c r="N28" s="36" t="str">
        <f>"C-"&amp;D28&amp;"-"&amp;G28&amp;"-"&amp;F28&amp;"-"&amp;E28&amp;" "&amp;IF(H28="±0,03","A",IF(H28="±0,1","B",IF(H28="±0,25","C",IF(H28="±0,5","D",IF(H28="±1%","F",IF(H28="±2%","G",IF(H28="±5%","J",IF(H28="±10%","K",IF(H28="±20%","M","")))))))))</f>
        <v>C-0402-X7R-50-8200pF K</v>
      </c>
      <c r="O28" s="36" t="str">
        <f t="shared" si="2"/>
        <v>C-0402-X7R-50-8200pF K</v>
      </c>
    </row>
    <row r="29" spans="1:15" ht="20.100000000000001" customHeight="1" x14ac:dyDescent="0.25">
      <c r="A29" s="36" t="s">
        <v>115</v>
      </c>
      <c r="B29" s="36" t="s">
        <v>116</v>
      </c>
      <c r="C29" s="37" t="s">
        <v>604</v>
      </c>
      <c r="D29" s="36">
        <v>1206</v>
      </c>
      <c r="E29" s="37" t="s">
        <v>117</v>
      </c>
      <c r="F29" s="39" t="s">
        <v>68</v>
      </c>
      <c r="G29" s="37" t="s">
        <v>37</v>
      </c>
      <c r="H29" s="37" t="s">
        <v>34</v>
      </c>
      <c r="I29" s="37" t="s">
        <v>23</v>
      </c>
      <c r="J29" s="36" t="s">
        <v>24</v>
      </c>
      <c r="K29" s="36" t="s">
        <v>25</v>
      </c>
      <c r="L29" s="36" t="s">
        <v>26</v>
      </c>
      <c r="M29" s="36" t="str">
        <f t="shared" si="0"/>
        <v>C1206</v>
      </c>
      <c r="N29" s="36" t="str">
        <f>"C-"&amp;D29&amp;"-"&amp;G29&amp;"-"&amp;F29&amp;"-"&amp;E29&amp;" "&amp;IF(H29="±0,03","A",IF(H29="±0,1","B",IF(H29="±0,25","C",IF(H29="±0,5","D",IF(H29="±1%","F",IF(H29="±2%","G",IF(H29="±5%","J",IF(H29="±10%","K",IF(H29="±20%","M","")))))))))</f>
        <v>C-1206-X5R-6.3-100uF K</v>
      </c>
      <c r="O29" s="36" t="str">
        <f t="shared" si="2"/>
        <v>C-1206-X5R-6.3-100uF K</v>
      </c>
    </row>
    <row r="30" spans="1:15" ht="20.100000000000001" customHeight="1" x14ac:dyDescent="0.25">
      <c r="A30" s="36" t="s">
        <v>118</v>
      </c>
      <c r="B30" s="36" t="s">
        <v>119</v>
      </c>
      <c r="C30" s="37" t="s">
        <v>604</v>
      </c>
      <c r="D30" s="36">
        <v>1210</v>
      </c>
      <c r="E30" s="37" t="s">
        <v>91</v>
      </c>
      <c r="F30" s="36">
        <v>25</v>
      </c>
      <c r="G30" s="37" t="s">
        <v>30</v>
      </c>
      <c r="H30" s="37" t="s">
        <v>34</v>
      </c>
      <c r="I30" s="37" t="s">
        <v>23</v>
      </c>
      <c r="J30" s="36" t="s">
        <v>24</v>
      </c>
      <c r="K30" s="36" t="s">
        <v>25</v>
      </c>
      <c r="L30" s="36" t="s">
        <v>26</v>
      </c>
      <c r="M30" s="36" t="str">
        <f t="shared" si="0"/>
        <v>C1210</v>
      </c>
      <c r="N30" s="36" t="str">
        <f>"C-"&amp;D30&amp;"-"&amp;G30&amp;"-"&amp;F30&amp;"-"&amp;E30&amp;" "&amp;IF(H30="±0,03","A",IF(H30="±0,1","B",IF(H30="±0,25","C",IF(H30="±0,5","D",IF(H30="±1%","F",IF(H30="±2%","G",IF(H30="±5%","J",IF(H30="±10%","K",IF(H30="±20%","M","")))))))))</f>
        <v>C-1210-X7R-25-22uF K</v>
      </c>
      <c r="O30" s="36" t="str">
        <f t="shared" si="2"/>
        <v>C-1210-X7R-25-22uF K</v>
      </c>
    </row>
    <row r="31" spans="1:15" ht="20.100000000000001" customHeight="1" x14ac:dyDescent="0.25">
      <c r="A31" s="36" t="s">
        <v>120</v>
      </c>
      <c r="B31" s="36" t="s">
        <v>121</v>
      </c>
      <c r="C31" s="37" t="s">
        <v>604</v>
      </c>
      <c r="D31" s="36" t="s">
        <v>19</v>
      </c>
      <c r="E31" s="37" t="s">
        <v>122</v>
      </c>
      <c r="F31" s="36">
        <v>50</v>
      </c>
      <c r="G31" s="37" t="s">
        <v>21</v>
      </c>
      <c r="H31" s="37" t="s">
        <v>123</v>
      </c>
      <c r="I31" s="37" t="s">
        <v>23</v>
      </c>
      <c r="J31" s="36" t="s">
        <v>24</v>
      </c>
      <c r="K31" s="36" t="s">
        <v>25</v>
      </c>
      <c r="L31" s="36" t="s">
        <v>26</v>
      </c>
      <c r="M31" s="36" t="str">
        <f t="shared" si="0"/>
        <v>C0402</v>
      </c>
      <c r="N31" s="36" t="s">
        <v>124</v>
      </c>
      <c r="O31" s="36" t="str">
        <f t="shared" si="2"/>
        <v>C-0402-NP0-50-4.7pF B</v>
      </c>
    </row>
    <row r="32" spans="1:15" ht="20.100000000000001" customHeight="1" x14ac:dyDescent="0.25">
      <c r="A32" s="36" t="s">
        <v>125</v>
      </c>
      <c r="B32" s="36" t="s">
        <v>126</v>
      </c>
      <c r="C32" s="37" t="s">
        <v>604</v>
      </c>
      <c r="D32" s="36" t="s">
        <v>19</v>
      </c>
      <c r="E32" s="37" t="s">
        <v>61</v>
      </c>
      <c r="F32" s="36">
        <v>10</v>
      </c>
      <c r="G32" s="37" t="s">
        <v>37</v>
      </c>
      <c r="H32" s="37" t="s">
        <v>31</v>
      </c>
      <c r="I32" s="37" t="s">
        <v>23</v>
      </c>
      <c r="J32" s="36" t="s">
        <v>24</v>
      </c>
      <c r="K32" s="36" t="s">
        <v>25</v>
      </c>
      <c r="L32" s="36" t="s">
        <v>26</v>
      </c>
      <c r="M32" s="36" t="str">
        <f t="shared" si="0"/>
        <v>C0402</v>
      </c>
      <c r="N32" s="36" t="str">
        <f t="shared" ref="N32:N43" si="4">"C-"&amp;D32&amp;"-"&amp;G32&amp;"-"&amp;F32&amp;"-"&amp;E32&amp;" "&amp;IF(H32="±0,03","A",IF(H32="±0,1","B",IF(H32="±0,25","C",IF(H32="±0,5","D",IF(H32="±1%","F",IF(H32="±2%","G",IF(H32="±5%","J",IF(H32="±10%","K",IF(H32="±20%","M","")))))))))</f>
        <v>C-0402-X5R-10-10uF M</v>
      </c>
      <c r="O32" s="36" t="str">
        <f t="shared" si="2"/>
        <v>C-0402-X5R-10-10uF M</v>
      </c>
    </row>
    <row r="33" spans="1:15" ht="20.100000000000001" customHeight="1" x14ac:dyDescent="0.25">
      <c r="A33" s="36" t="s">
        <v>127</v>
      </c>
      <c r="B33" s="36" t="s">
        <v>128</v>
      </c>
      <c r="C33" s="37" t="s">
        <v>604</v>
      </c>
      <c r="D33" s="36" t="s">
        <v>129</v>
      </c>
      <c r="E33" s="37" t="s">
        <v>33</v>
      </c>
      <c r="F33" s="36">
        <v>25</v>
      </c>
      <c r="G33" s="37" t="s">
        <v>37</v>
      </c>
      <c r="H33" s="37" t="s">
        <v>34</v>
      </c>
      <c r="I33" s="37" t="s">
        <v>23</v>
      </c>
      <c r="J33" s="36" t="s">
        <v>24</v>
      </c>
      <c r="K33" s="36" t="s">
        <v>25</v>
      </c>
      <c r="L33" s="36" t="s">
        <v>26</v>
      </c>
      <c r="M33" s="36" t="str">
        <f t="shared" si="0"/>
        <v>C0201</v>
      </c>
      <c r="N33" s="36" t="str">
        <f t="shared" si="4"/>
        <v>C-0201-X5R-25-0.1uF K</v>
      </c>
      <c r="O33" s="36" t="str">
        <f t="shared" si="2"/>
        <v>C-0201-X5R-25-0.1uF K</v>
      </c>
    </row>
    <row r="34" spans="1:15" ht="20.100000000000001" customHeight="1" x14ac:dyDescent="0.25">
      <c r="A34" s="36" t="s">
        <v>130</v>
      </c>
      <c r="B34" s="36" t="s">
        <v>131</v>
      </c>
      <c r="C34" s="37" t="s">
        <v>604</v>
      </c>
      <c r="D34" s="36" t="s">
        <v>19</v>
      </c>
      <c r="E34" s="37" t="s">
        <v>132</v>
      </c>
      <c r="F34" s="36">
        <v>16</v>
      </c>
      <c r="G34" s="37" t="s">
        <v>30</v>
      </c>
      <c r="H34" s="37" t="s">
        <v>34</v>
      </c>
      <c r="I34" s="37" t="s">
        <v>23</v>
      </c>
      <c r="J34" s="36" t="s">
        <v>24</v>
      </c>
      <c r="K34" s="36" t="s">
        <v>25</v>
      </c>
      <c r="L34" s="36" t="s">
        <v>26</v>
      </c>
      <c r="M34" s="36" t="str">
        <f t="shared" si="0"/>
        <v>C0402</v>
      </c>
      <c r="N34" s="36" t="str">
        <f t="shared" si="4"/>
        <v>C-0402-X7R-16-0.022uF K</v>
      </c>
      <c r="O34" s="36" t="str">
        <f t="shared" si="2"/>
        <v>C-0402-X7R-16-0.022uF K</v>
      </c>
    </row>
    <row r="35" spans="1:15" x14ac:dyDescent="0.25">
      <c r="A35" s="36" t="s">
        <v>133</v>
      </c>
      <c r="B35" s="36" t="s">
        <v>134</v>
      </c>
      <c r="C35" s="37" t="s">
        <v>604</v>
      </c>
      <c r="D35" s="36" t="s">
        <v>129</v>
      </c>
      <c r="E35" s="37" t="s">
        <v>77</v>
      </c>
      <c r="F35" s="36">
        <v>10</v>
      </c>
      <c r="G35" s="37" t="s">
        <v>37</v>
      </c>
      <c r="H35" s="37" t="s">
        <v>31</v>
      </c>
      <c r="I35" s="37" t="s">
        <v>23</v>
      </c>
      <c r="J35" s="36" t="s">
        <v>24</v>
      </c>
      <c r="K35" s="36" t="s">
        <v>25</v>
      </c>
      <c r="L35" s="36" t="s">
        <v>26</v>
      </c>
      <c r="M35" s="36" t="str">
        <f t="shared" si="0"/>
        <v>C0201</v>
      </c>
      <c r="N35" s="36" t="str">
        <f t="shared" si="4"/>
        <v>C-0201-X5R-10-1uF M</v>
      </c>
      <c r="O35" s="36" t="str">
        <f t="shared" si="2"/>
        <v>C-0201-X5R-10-1uF M</v>
      </c>
    </row>
    <row r="36" spans="1:15" x14ac:dyDescent="0.25">
      <c r="A36" s="36" t="s">
        <v>135</v>
      </c>
      <c r="B36" s="36" t="s">
        <v>136</v>
      </c>
      <c r="C36" s="37" t="s">
        <v>604</v>
      </c>
      <c r="D36" s="36" t="s">
        <v>129</v>
      </c>
      <c r="E36" s="38" t="s">
        <v>137</v>
      </c>
      <c r="F36" s="39" t="s">
        <v>68</v>
      </c>
      <c r="G36" s="37" t="s">
        <v>37</v>
      </c>
      <c r="H36" s="37" t="s">
        <v>31</v>
      </c>
      <c r="I36" s="37" t="s">
        <v>23</v>
      </c>
      <c r="J36" s="36" t="s">
        <v>24</v>
      </c>
      <c r="K36" s="36" t="s">
        <v>25</v>
      </c>
      <c r="L36" s="36" t="s">
        <v>26</v>
      </c>
      <c r="M36" s="36" t="str">
        <f t="shared" si="0"/>
        <v>C0201</v>
      </c>
      <c r="N36" s="36" t="str">
        <f t="shared" si="4"/>
        <v>C-0201-X5R-6.3-4.7uF M</v>
      </c>
      <c r="O36" s="36" t="str">
        <f t="shared" si="2"/>
        <v>C-0201-X5R-6.3-4.7uF M</v>
      </c>
    </row>
    <row r="37" spans="1:15" x14ac:dyDescent="0.25">
      <c r="A37" s="36" t="s">
        <v>138</v>
      </c>
      <c r="B37" s="36" t="s">
        <v>139</v>
      </c>
      <c r="C37" s="37" t="s">
        <v>604</v>
      </c>
      <c r="D37" s="36" t="s">
        <v>19</v>
      </c>
      <c r="E37" s="38" t="s">
        <v>137</v>
      </c>
      <c r="F37" s="36">
        <v>10</v>
      </c>
      <c r="G37" s="37" t="s">
        <v>37</v>
      </c>
      <c r="H37" s="37" t="s">
        <v>31</v>
      </c>
      <c r="I37" s="37" t="s">
        <v>23</v>
      </c>
      <c r="J37" s="36" t="s">
        <v>24</v>
      </c>
      <c r="K37" s="36" t="s">
        <v>25</v>
      </c>
      <c r="L37" s="36" t="s">
        <v>26</v>
      </c>
      <c r="M37" s="36" t="str">
        <f t="shared" si="0"/>
        <v>C0402</v>
      </c>
      <c r="N37" s="36" t="str">
        <f t="shared" si="4"/>
        <v>C-0402-X5R-10-4.7uF M</v>
      </c>
      <c r="O37" s="36" t="str">
        <f t="shared" si="2"/>
        <v>C-0402-X5R-10-4.7uF M</v>
      </c>
    </row>
    <row r="38" spans="1:15" x14ac:dyDescent="0.25">
      <c r="A38" s="36" t="s">
        <v>140</v>
      </c>
      <c r="B38" s="36" t="s">
        <v>141</v>
      </c>
      <c r="C38" s="36" t="s">
        <v>142</v>
      </c>
      <c r="D38" s="36" t="s">
        <v>90</v>
      </c>
      <c r="E38" s="37" t="s">
        <v>74</v>
      </c>
      <c r="F38" s="36">
        <v>50</v>
      </c>
      <c r="G38" s="37" t="s">
        <v>21</v>
      </c>
      <c r="H38" s="37" t="s">
        <v>22</v>
      </c>
      <c r="I38" s="37" t="s">
        <v>23</v>
      </c>
      <c r="J38" s="36" t="s">
        <v>24</v>
      </c>
      <c r="K38" s="36" t="s">
        <v>25</v>
      </c>
      <c r="L38" s="36" t="s">
        <v>26</v>
      </c>
      <c r="M38" s="36" t="str">
        <f t="shared" si="0"/>
        <v>C0603</v>
      </c>
      <c r="N38" s="36" t="str">
        <f t="shared" si="4"/>
        <v>C-0603-NP0-50-1800pF J</v>
      </c>
      <c r="O38" s="36" t="str">
        <f t="shared" si="2"/>
        <v>C-0603-NP0-50-1800pF J</v>
      </c>
    </row>
    <row r="39" spans="1:15" x14ac:dyDescent="0.25">
      <c r="A39" s="36" t="s">
        <v>143</v>
      </c>
      <c r="B39" s="36" t="s">
        <v>144</v>
      </c>
      <c r="C39" s="37" t="s">
        <v>45</v>
      </c>
      <c r="D39" s="36" t="s">
        <v>90</v>
      </c>
      <c r="E39" s="37" t="s">
        <v>145</v>
      </c>
      <c r="F39" s="36">
        <v>25</v>
      </c>
      <c r="G39" s="37" t="s">
        <v>21</v>
      </c>
      <c r="H39" s="37" t="s">
        <v>22</v>
      </c>
      <c r="I39" s="37" t="s">
        <v>23</v>
      </c>
      <c r="J39" s="36" t="s">
        <v>24</v>
      </c>
      <c r="K39" s="36" t="s">
        <v>25</v>
      </c>
      <c r="L39" s="36" t="s">
        <v>26</v>
      </c>
      <c r="M39" s="36" t="str">
        <f t="shared" si="0"/>
        <v>C0603</v>
      </c>
      <c r="N39" s="36" t="str">
        <f t="shared" si="4"/>
        <v>C-0603-NP0-25-0.012uF J</v>
      </c>
      <c r="O39" s="36" t="str">
        <f t="shared" si="2"/>
        <v>C-0603-NP0-25-0.012uF J</v>
      </c>
    </row>
    <row r="40" spans="1:15" x14ac:dyDescent="0.25">
      <c r="A40" s="36" t="s">
        <v>146</v>
      </c>
      <c r="B40" s="36" t="s">
        <v>147</v>
      </c>
      <c r="C40" s="37" t="s">
        <v>604</v>
      </c>
      <c r="D40" s="36">
        <v>1206</v>
      </c>
      <c r="E40" s="36" t="s">
        <v>148</v>
      </c>
      <c r="F40" s="36">
        <v>25</v>
      </c>
      <c r="G40" s="37" t="s">
        <v>21</v>
      </c>
      <c r="H40" s="37" t="s">
        <v>22</v>
      </c>
      <c r="I40" s="37" t="s">
        <v>23</v>
      </c>
      <c r="J40" s="36" t="s">
        <v>24</v>
      </c>
      <c r="K40" s="36" t="s">
        <v>25</v>
      </c>
      <c r="L40" s="36" t="s">
        <v>26</v>
      </c>
      <c r="M40" s="36" t="str">
        <f t="shared" si="0"/>
        <v>C1206</v>
      </c>
      <c r="N40" s="36" t="str">
        <f t="shared" si="4"/>
        <v>C-1206-NP0-25-0.33uF J</v>
      </c>
      <c r="O40" s="36" t="str">
        <f t="shared" si="2"/>
        <v>C-1206-NP0-25-0.33uF J</v>
      </c>
    </row>
    <row r="41" spans="1:15" ht="20.100000000000001" customHeight="1" x14ac:dyDescent="0.25">
      <c r="A41" s="36" t="s">
        <v>149</v>
      </c>
      <c r="B41" s="36" t="s">
        <v>150</v>
      </c>
      <c r="C41" s="37" t="s">
        <v>604</v>
      </c>
      <c r="D41" s="36" t="s">
        <v>19</v>
      </c>
      <c r="E41" s="37" t="s">
        <v>151</v>
      </c>
      <c r="F41" s="36">
        <v>50</v>
      </c>
      <c r="G41" s="37" t="s">
        <v>21</v>
      </c>
      <c r="H41" s="37" t="s">
        <v>22</v>
      </c>
      <c r="I41" s="37" t="s">
        <v>23</v>
      </c>
      <c r="J41" s="36" t="s">
        <v>24</v>
      </c>
      <c r="K41" s="36" t="s">
        <v>25</v>
      </c>
      <c r="L41" s="36" t="s">
        <v>26</v>
      </c>
      <c r="M41" s="36" t="str">
        <f t="shared" si="0"/>
        <v>C0402</v>
      </c>
      <c r="N41" s="36" t="str">
        <f t="shared" si="4"/>
        <v>C-0402-NP0-50-130pF J</v>
      </c>
      <c r="O41" s="36" t="str">
        <f t="shared" si="2"/>
        <v>C-0402-NP0-50-130pF J</v>
      </c>
    </row>
    <row r="42" spans="1:15" x14ac:dyDescent="0.25">
      <c r="A42" s="36" t="s">
        <v>1289</v>
      </c>
      <c r="B42" s="36" t="s">
        <v>1290</v>
      </c>
      <c r="C42" s="37" t="s">
        <v>1281</v>
      </c>
      <c r="D42" s="36" t="s">
        <v>1291</v>
      </c>
      <c r="E42" s="36" t="s">
        <v>117</v>
      </c>
      <c r="F42" s="36">
        <v>35</v>
      </c>
      <c r="G42" s="36" t="s">
        <v>1292</v>
      </c>
      <c r="H42" s="37" t="s">
        <v>31</v>
      </c>
      <c r="I42" s="36" t="s">
        <v>1293</v>
      </c>
      <c r="J42" s="36" t="s">
        <v>24</v>
      </c>
      <c r="K42" s="36" t="s">
        <v>64</v>
      </c>
      <c r="L42" s="36" t="s">
        <v>26</v>
      </c>
      <c r="M42" s="36" t="s">
        <v>1320</v>
      </c>
      <c r="N42" s="36" t="s">
        <v>1294</v>
      </c>
      <c r="O42" s="36" t="s">
        <v>1294</v>
      </c>
    </row>
    <row r="43" spans="1:15" x14ac:dyDescent="0.25">
      <c r="A43" s="36" t="s">
        <v>1295</v>
      </c>
      <c r="B43" s="36" t="s">
        <v>1296</v>
      </c>
      <c r="C43" s="36" t="s">
        <v>604</v>
      </c>
      <c r="D43" s="40" t="s">
        <v>60</v>
      </c>
      <c r="E43" s="36" t="s">
        <v>61</v>
      </c>
      <c r="F43" s="36">
        <v>50</v>
      </c>
      <c r="G43" s="41" t="s">
        <v>37</v>
      </c>
      <c r="H43" s="37" t="s">
        <v>34</v>
      </c>
      <c r="I43" s="37" t="s">
        <v>23</v>
      </c>
      <c r="J43" s="36" t="s">
        <v>24</v>
      </c>
      <c r="K43" s="36" t="s">
        <v>25</v>
      </c>
      <c r="L43" s="36" t="s">
        <v>26</v>
      </c>
      <c r="M43" s="36" t="str">
        <f t="shared" si="0"/>
        <v>C0805</v>
      </c>
      <c r="N43" s="36" t="str">
        <f t="shared" si="4"/>
        <v>C-0805-X5R-50-10uF K</v>
      </c>
      <c r="O43" s="36" t="str">
        <f>N43</f>
        <v>C-0805-X5R-50-10uF K</v>
      </c>
    </row>
    <row r="44" spans="1:15" x14ac:dyDescent="0.25">
      <c r="A44" s="36" t="s">
        <v>1297</v>
      </c>
      <c r="B44" s="36" t="s">
        <v>1298</v>
      </c>
      <c r="C44" s="36" t="s">
        <v>604</v>
      </c>
      <c r="D44" s="40" t="s">
        <v>60</v>
      </c>
      <c r="E44" s="36" t="s">
        <v>46</v>
      </c>
      <c r="F44" s="36">
        <v>50</v>
      </c>
      <c r="G44" s="37" t="s">
        <v>30</v>
      </c>
      <c r="H44" s="37" t="s">
        <v>31</v>
      </c>
      <c r="I44" s="37" t="s">
        <v>23</v>
      </c>
      <c r="J44" s="36" t="s">
        <v>24</v>
      </c>
      <c r="K44" s="36" t="s">
        <v>25</v>
      </c>
      <c r="L44" s="36" t="s">
        <v>26</v>
      </c>
      <c r="M44" s="36" t="str">
        <f t="shared" ref="M44:M48" si="5">"C"&amp;D44</f>
        <v>C0805</v>
      </c>
      <c r="N44" s="36" t="str">
        <f>"C-"&amp;D44&amp;"-"&amp;G44&amp;"-"&amp;F44&amp;"-"&amp;E44&amp;" "&amp;IF(H44="±0,03","A",IF(H44="±0,1","B",IF(H44="±0,25","C",IF(H44="±0,5","D",IF(H44="±1%","F",IF(H44="±2%","G",IF(H44="±5%","J",IF(H44="±10%","K",IF(H44="±20%","M","")))))))))</f>
        <v>C-0805-X7R-50-0.47uF M</v>
      </c>
      <c r="O44" s="36" t="str">
        <f>N44</f>
        <v>C-0805-X7R-50-0.47uF M</v>
      </c>
    </row>
    <row r="45" spans="1:15" x14ac:dyDescent="0.25">
      <c r="A45" s="36" t="s">
        <v>1543</v>
      </c>
      <c r="B45" s="36" t="s">
        <v>1544</v>
      </c>
      <c r="C45" s="36" t="s">
        <v>1192</v>
      </c>
      <c r="D45" s="36">
        <v>1206</v>
      </c>
      <c r="E45" s="36" t="s">
        <v>1545</v>
      </c>
      <c r="F45" s="36">
        <v>100</v>
      </c>
      <c r="G45" s="37" t="s">
        <v>1546</v>
      </c>
      <c r="H45" s="37" t="s">
        <v>31</v>
      </c>
      <c r="I45" s="37" t="s">
        <v>23</v>
      </c>
      <c r="J45" s="36" t="s">
        <v>24</v>
      </c>
      <c r="K45" s="36" t="s">
        <v>25</v>
      </c>
      <c r="L45" s="36" t="s">
        <v>26</v>
      </c>
      <c r="M45" s="36" t="str">
        <f t="shared" si="5"/>
        <v>C1206</v>
      </c>
      <c r="N45" s="36" t="str">
        <f>"C-"&amp;D45&amp;"-"&amp;G45&amp;"-"&amp;F45&amp;"-"&amp;E45&amp;" "&amp;IF(H45="±0,03","A",IF(H45="±0,1","B",IF(H45="±0,25","C",IF(H45="±0,5","D",IF(H45="±1%","F",IF(H45="±2%","G",IF(H45="±5%","J",IF(H45="±10%","K",IF(H45="±20%","M","")))))))))</f>
        <v>C-1206-X7S-100-3.3uF M</v>
      </c>
      <c r="O45" s="36" t="str">
        <f>N45</f>
        <v>C-1206-X7S-100-3.3uF M</v>
      </c>
    </row>
    <row r="46" spans="1:15" x14ac:dyDescent="0.25">
      <c r="A46" s="36" t="s">
        <v>1547</v>
      </c>
      <c r="B46" s="36" t="s">
        <v>1548</v>
      </c>
      <c r="C46" s="36" t="s">
        <v>1192</v>
      </c>
      <c r="D46" s="40" t="s">
        <v>60</v>
      </c>
      <c r="E46" s="37" t="s">
        <v>33</v>
      </c>
      <c r="F46" s="36">
        <v>100</v>
      </c>
      <c r="G46" s="37" t="s">
        <v>30</v>
      </c>
      <c r="H46" s="37" t="s">
        <v>34</v>
      </c>
      <c r="I46" s="37" t="s">
        <v>23</v>
      </c>
      <c r="J46" s="36" t="s">
        <v>24</v>
      </c>
      <c r="K46" s="36" t="s">
        <v>25</v>
      </c>
      <c r="L46" s="36" t="s">
        <v>26</v>
      </c>
      <c r="M46" s="36" t="str">
        <f t="shared" si="5"/>
        <v>C0805</v>
      </c>
      <c r="N46" s="36" t="str">
        <f>"C-"&amp;D46&amp;"-"&amp;G46&amp;"-"&amp;F46&amp;"-"&amp;E46&amp;" "&amp;IF(H46="±0,03","A",IF(H46="±0,1","B",IF(H46="±0,25","C",IF(H46="±0,5","D",IF(H46="±1%","F",IF(H46="±2%","G",IF(H46="±5%","J",IF(H46="±10%","K",IF(H46="±20%","M","")))))))))</f>
        <v>C-0805-X7R-100-0.1uF K</v>
      </c>
      <c r="O46" s="36" t="str">
        <f>N46</f>
        <v>C-0805-X7R-100-0.1uF K</v>
      </c>
    </row>
    <row r="47" spans="1:15" x14ac:dyDescent="0.25">
      <c r="A47" s="36" t="s">
        <v>1574</v>
      </c>
      <c r="B47" s="36" t="s">
        <v>1576</v>
      </c>
      <c r="C47" s="36" t="s">
        <v>1281</v>
      </c>
      <c r="D47" s="36" t="s">
        <v>84</v>
      </c>
      <c r="E47" s="36" t="s">
        <v>1575</v>
      </c>
      <c r="F47" s="36">
        <v>100</v>
      </c>
      <c r="G47" s="36" t="s">
        <v>1292</v>
      </c>
      <c r="H47" s="50">
        <v>0.2</v>
      </c>
      <c r="I47" s="36" t="s">
        <v>1293</v>
      </c>
      <c r="J47" s="36" t="s">
        <v>24</v>
      </c>
      <c r="K47" s="36" t="s">
        <v>64</v>
      </c>
      <c r="L47" s="36" t="s">
        <v>26</v>
      </c>
      <c r="M47" s="36" t="str">
        <f t="shared" si="5"/>
        <v>C10x10</v>
      </c>
      <c r="N47" s="36" t="s">
        <v>1577</v>
      </c>
      <c r="O47" s="36" t="s">
        <v>1577</v>
      </c>
    </row>
    <row r="48" spans="1:15" x14ac:dyDescent="0.25">
      <c r="A48" s="36" t="s">
        <v>1585</v>
      </c>
      <c r="B48" s="36" t="s">
        <v>1584</v>
      </c>
      <c r="C48" s="37" t="s">
        <v>45</v>
      </c>
      <c r="D48" s="40" t="s">
        <v>60</v>
      </c>
      <c r="E48" s="36" t="s">
        <v>103</v>
      </c>
      <c r="F48" s="36">
        <v>100</v>
      </c>
      <c r="G48" s="37" t="s">
        <v>30</v>
      </c>
      <c r="H48" s="37" t="s">
        <v>34</v>
      </c>
      <c r="I48" s="37" t="s">
        <v>23</v>
      </c>
      <c r="J48" s="36" t="s">
        <v>24</v>
      </c>
      <c r="K48" s="36" t="s">
        <v>25</v>
      </c>
      <c r="L48" s="36" t="s">
        <v>26</v>
      </c>
      <c r="M48" s="36" t="str">
        <f t="shared" si="5"/>
        <v>C0805</v>
      </c>
      <c r="N48" s="36" t="str">
        <f>"C-"&amp;D48&amp;"-"&amp;G48&amp;"-"&amp;F48&amp;"-"&amp;E48&amp;" "&amp;IF(H48="±0,03","A",IF(H48="±0,1","B",IF(H48="±0,25","C",IF(H48="±0,5","D",IF(H48="±1%","F",IF(H48="±2%","G",IF(H48="±5%","J",IF(H48="±10%","K",IF(H48="±20%","M","")))))))))</f>
        <v>C-0805-X7R-100-4700pF K</v>
      </c>
      <c r="O48" s="36" t="str">
        <f>N48</f>
        <v>C-0805-X7R-100-4700pF K</v>
      </c>
    </row>
  </sheetData>
  <conditionalFormatting sqref="M2:M48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9"/>
  <sheetViews>
    <sheetView showGridLines="0" topLeftCell="C1" workbookViewId="0">
      <selection activeCell="R24" sqref="R24"/>
    </sheetView>
  </sheetViews>
  <sheetFormatPr defaultRowHeight="15.75" x14ac:dyDescent="0.25"/>
  <cols>
    <col min="1" max="1" width="21.875" customWidth="1"/>
    <col min="2" max="2" width="54.625" customWidth="1"/>
    <col min="3" max="3" width="20.375" customWidth="1"/>
    <col min="4" max="4" width="9.5" customWidth="1"/>
    <col min="5" max="5" width="13.25" customWidth="1"/>
    <col min="6" max="6" width="11.125" customWidth="1"/>
    <col min="7" max="7" width="15.875" customWidth="1"/>
    <col min="8" max="8" width="10.75" customWidth="1"/>
    <col min="9" max="9" width="8.875" customWidth="1"/>
    <col min="10" max="10" width="16.375" customWidth="1"/>
    <col min="11" max="11" width="7.5" customWidth="1"/>
    <col min="12" max="12" width="24.875" customWidth="1"/>
    <col min="13" max="13" width="12.5" customWidth="1"/>
    <col min="14" max="14" width="15.625" customWidth="1"/>
    <col min="15" max="15" width="20.375" customWidth="1"/>
    <col min="16" max="16" width="17.75" customWidth="1"/>
    <col min="17" max="17" width="14.75" customWidth="1"/>
    <col min="18" max="18" width="25" customWidth="1"/>
    <col min="19" max="19" width="26.75" customWidth="1"/>
  </cols>
  <sheetData>
    <row r="1" spans="1:19" s="2" customFormat="1" ht="20.100000000000001" customHeight="1" x14ac:dyDescent="0.25">
      <c r="A1" s="2" t="s">
        <v>0</v>
      </c>
      <c r="B1" s="30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152</v>
      </c>
      <c r="J1" s="2" t="s">
        <v>153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14</v>
      </c>
      <c r="R1" s="2" t="s">
        <v>15</v>
      </c>
      <c r="S1" s="2" t="s">
        <v>16</v>
      </c>
    </row>
    <row r="2" spans="1:19" s="2" customFormat="1" ht="20.100000000000001" customHeight="1" x14ac:dyDescent="0.25">
      <c r="A2" s="2" t="s">
        <v>1212</v>
      </c>
      <c r="B2" s="30" t="s">
        <v>1213</v>
      </c>
      <c r="C2" s="2" t="s">
        <v>1214</v>
      </c>
      <c r="D2" s="5" t="s">
        <v>19</v>
      </c>
      <c r="E2" s="2" t="s">
        <v>20</v>
      </c>
      <c r="F2" s="2">
        <v>16</v>
      </c>
      <c r="G2" s="2" t="s">
        <v>30</v>
      </c>
      <c r="H2" s="2" t="s">
        <v>34</v>
      </c>
      <c r="I2"/>
      <c r="J2" t="s">
        <v>586</v>
      </c>
      <c r="K2" s="2" t="s">
        <v>23</v>
      </c>
      <c r="L2" s="2" t="s">
        <v>24</v>
      </c>
      <c r="M2" s="2" t="s">
        <v>25</v>
      </c>
      <c r="N2" s="2" t="s">
        <v>26</v>
      </c>
      <c r="O2" s="5" t="str">
        <f>"C"&amp;D2</f>
        <v>C0402</v>
      </c>
      <c r="P2" s="2" t="s">
        <v>26</v>
      </c>
      <c r="Q2" s="2" t="str">
        <f>O2&amp;"_RF"</f>
        <v>C0402_RF</v>
      </c>
      <c r="R2" s="2" t="s">
        <v>1215</v>
      </c>
      <c r="S2" s="2" t="str">
        <f>R2</f>
        <v>C-0402-520L103KT16T</v>
      </c>
    </row>
    <row r="3" spans="1:19" s="2" customFormat="1" ht="20.100000000000001" customHeight="1" x14ac:dyDescent="0.25">
      <c r="A3" s="3" t="s">
        <v>1216</v>
      </c>
      <c r="B3" s="30" t="s">
        <v>1217</v>
      </c>
      <c r="C3" s="3" t="s">
        <v>604</v>
      </c>
      <c r="D3" s="5" t="s">
        <v>19</v>
      </c>
      <c r="E3" s="3" t="s">
        <v>1218</v>
      </c>
      <c r="F3" s="2">
        <v>50</v>
      </c>
      <c r="G3" s="3" t="s">
        <v>21</v>
      </c>
      <c r="H3" s="4" t="s">
        <v>1536</v>
      </c>
      <c r="I3" s="3"/>
      <c r="J3" t="s">
        <v>586</v>
      </c>
      <c r="K3" s="3" t="s">
        <v>23</v>
      </c>
      <c r="L3" s="2" t="s">
        <v>24</v>
      </c>
      <c r="M3" s="2" t="s">
        <v>25</v>
      </c>
      <c r="N3" s="2" t="s">
        <v>26</v>
      </c>
      <c r="O3" s="5" t="str">
        <f t="shared" ref="O3:O18" si="0">"C"&amp;D3</f>
        <v>C0402</v>
      </c>
      <c r="P3" s="2" t="s">
        <v>26</v>
      </c>
      <c r="Q3" s="2" t="str">
        <f t="shared" ref="Q3:Q16" si="1">O3&amp;"_RF"</f>
        <v>C0402_RF</v>
      </c>
      <c r="R3" s="2" t="str">
        <f t="shared" ref="R3:R18" si="2">"C-"&amp;D3&amp;"-"&amp;G3&amp;"-"&amp;F3&amp;"-"&amp;E3&amp;" "&amp;IF(H3="±0,03","A",IF(H3="±0,1","B",IF(H3="±0,25","C",IF(H3="±0,5","D",IF(H3="±1%","F",IF(H3="±2%","G",IF(H3="±5%","J",IF(H3="±10%","K",IF(H3="±20%","M","")))))))))</f>
        <v xml:space="preserve">C-0402-NP0-50-0.15pF </v>
      </c>
      <c r="S3" s="2" t="str">
        <f t="shared" ref="S3:S18" si="3">R3</f>
        <v xml:space="preserve">C-0402-NP0-50-0.15pF </v>
      </c>
    </row>
    <row r="4" spans="1:19" s="2" customFormat="1" ht="20.100000000000001" customHeight="1" x14ac:dyDescent="0.25">
      <c r="A4" s="2" t="s">
        <v>1219</v>
      </c>
      <c r="B4" s="30" t="s">
        <v>1220</v>
      </c>
      <c r="C4" s="3" t="s">
        <v>604</v>
      </c>
      <c r="D4" s="5" t="s">
        <v>19</v>
      </c>
      <c r="E4" s="3" t="s">
        <v>1221</v>
      </c>
      <c r="F4" s="2">
        <v>50</v>
      </c>
      <c r="G4" s="3" t="s">
        <v>21</v>
      </c>
      <c r="H4" s="4" t="s">
        <v>1535</v>
      </c>
      <c r="I4" s="3"/>
      <c r="J4" t="s">
        <v>586</v>
      </c>
      <c r="K4" s="3" t="s">
        <v>23</v>
      </c>
      <c r="L4" s="2" t="s">
        <v>24</v>
      </c>
      <c r="M4" s="2" t="s">
        <v>25</v>
      </c>
      <c r="N4" s="2" t="s">
        <v>26</v>
      </c>
      <c r="O4" s="5" t="str">
        <f t="shared" si="0"/>
        <v>C0402</v>
      </c>
      <c r="P4" s="2" t="s">
        <v>26</v>
      </c>
      <c r="Q4" s="2" t="str">
        <f t="shared" si="1"/>
        <v>C0402_RF</v>
      </c>
      <c r="R4" s="2" t="str">
        <f t="shared" si="2"/>
        <v xml:space="preserve">C-0402-NP0-50-6pF </v>
      </c>
      <c r="S4" s="2" t="str">
        <f t="shared" si="3"/>
        <v xml:space="preserve">C-0402-NP0-50-6pF </v>
      </c>
    </row>
    <row r="5" spans="1:19" s="2" customFormat="1" ht="20.100000000000001" customHeight="1" x14ac:dyDescent="0.25">
      <c r="A5" s="2" t="s">
        <v>120</v>
      </c>
      <c r="B5" s="30" t="s">
        <v>121</v>
      </c>
      <c r="C5" s="3" t="s">
        <v>604</v>
      </c>
      <c r="D5" s="5" t="s">
        <v>19</v>
      </c>
      <c r="E5" s="3" t="s">
        <v>122</v>
      </c>
      <c r="F5" s="2">
        <v>50</v>
      </c>
      <c r="G5" s="3" t="s">
        <v>21</v>
      </c>
      <c r="H5" s="4" t="s">
        <v>1535</v>
      </c>
      <c r="I5" s="3"/>
      <c r="J5" t="s">
        <v>586</v>
      </c>
      <c r="K5" s="3" t="s">
        <v>23</v>
      </c>
      <c r="L5" s="2" t="s">
        <v>24</v>
      </c>
      <c r="M5" s="2" t="s">
        <v>25</v>
      </c>
      <c r="N5" s="2" t="s">
        <v>26</v>
      </c>
      <c r="O5" s="5" t="str">
        <f t="shared" si="0"/>
        <v>C0402</v>
      </c>
      <c r="P5" s="2" t="s">
        <v>26</v>
      </c>
      <c r="Q5" s="2" t="str">
        <f t="shared" si="1"/>
        <v>C0402_RF</v>
      </c>
      <c r="R5" s="2" t="str">
        <f t="shared" si="2"/>
        <v xml:space="preserve">C-0402-NP0-50-4.7pF </v>
      </c>
      <c r="S5" s="2" t="str">
        <f t="shared" si="3"/>
        <v xml:space="preserve">C-0402-NP0-50-4.7pF </v>
      </c>
    </row>
    <row r="6" spans="1:19" s="2" customFormat="1" ht="20.100000000000001" customHeight="1" x14ac:dyDescent="0.25">
      <c r="A6" s="2" t="s">
        <v>1223</v>
      </c>
      <c r="B6" s="31" t="s">
        <v>1224</v>
      </c>
      <c r="C6" s="2" t="s">
        <v>1214</v>
      </c>
      <c r="D6" s="5" t="s">
        <v>19</v>
      </c>
      <c r="E6" s="3" t="s">
        <v>33</v>
      </c>
      <c r="F6" s="2">
        <v>16</v>
      </c>
      <c r="G6" s="7" t="s">
        <v>37</v>
      </c>
      <c r="H6" s="3" t="s">
        <v>34</v>
      </c>
      <c r="I6" s="3"/>
      <c r="J6" t="s">
        <v>586</v>
      </c>
      <c r="K6" s="3" t="s">
        <v>23</v>
      </c>
      <c r="L6" s="2" t="s">
        <v>24</v>
      </c>
      <c r="M6" s="2" t="s">
        <v>25</v>
      </c>
      <c r="N6" s="2" t="s">
        <v>26</v>
      </c>
      <c r="O6" s="5" t="str">
        <f t="shared" si="0"/>
        <v>C0402</v>
      </c>
      <c r="P6" s="2" t="s">
        <v>26</v>
      </c>
      <c r="Q6" s="2" t="str">
        <f t="shared" si="1"/>
        <v>C0402_RF</v>
      </c>
      <c r="R6" s="2" t="s">
        <v>1225</v>
      </c>
      <c r="S6" s="2" t="str">
        <f t="shared" si="3"/>
        <v>C-0402-550L104KTT</v>
      </c>
    </row>
    <row r="7" spans="1:19" s="2" customFormat="1" ht="20.100000000000001" customHeight="1" x14ac:dyDescent="0.25">
      <c r="A7" s="3" t="s">
        <v>17</v>
      </c>
      <c r="B7" s="30" t="s">
        <v>18</v>
      </c>
      <c r="C7" s="3" t="s">
        <v>604</v>
      </c>
      <c r="D7" s="2" t="s">
        <v>19</v>
      </c>
      <c r="E7" s="3" t="s">
        <v>20</v>
      </c>
      <c r="F7" s="2">
        <v>50</v>
      </c>
      <c r="G7" s="3" t="s">
        <v>21</v>
      </c>
      <c r="H7" s="3" t="s">
        <v>22</v>
      </c>
      <c r="I7" s="3"/>
      <c r="J7" t="s">
        <v>586</v>
      </c>
      <c r="K7" s="3" t="s">
        <v>23</v>
      </c>
      <c r="L7" s="2" t="s">
        <v>24</v>
      </c>
      <c r="M7" s="2" t="s">
        <v>25</v>
      </c>
      <c r="N7" s="2" t="s">
        <v>26</v>
      </c>
      <c r="O7" s="5" t="str">
        <f t="shared" si="0"/>
        <v>C0402</v>
      </c>
      <c r="P7" s="2" t="s">
        <v>26</v>
      </c>
      <c r="Q7" s="2" t="str">
        <f t="shared" si="1"/>
        <v>C0402_RF</v>
      </c>
      <c r="R7" s="2" t="str">
        <f t="shared" si="2"/>
        <v>C-0402-NP0-50-0.01uF J</v>
      </c>
      <c r="S7" s="2" t="str">
        <f t="shared" si="3"/>
        <v>C-0402-NP0-50-0.01uF J</v>
      </c>
    </row>
    <row r="8" spans="1:19" s="2" customFormat="1" ht="20.100000000000001" customHeight="1" x14ac:dyDescent="0.25">
      <c r="A8" s="3" t="s">
        <v>48</v>
      </c>
      <c r="B8" s="30" t="s">
        <v>49</v>
      </c>
      <c r="C8" s="3" t="s">
        <v>604</v>
      </c>
      <c r="D8" s="5" t="s">
        <v>19</v>
      </c>
      <c r="E8" s="3" t="s">
        <v>50</v>
      </c>
      <c r="F8" s="2">
        <v>50</v>
      </c>
      <c r="G8" s="3" t="s">
        <v>21</v>
      </c>
      <c r="H8" s="3" t="s">
        <v>22</v>
      </c>
      <c r="I8" s="3"/>
      <c r="J8" t="s">
        <v>586</v>
      </c>
      <c r="K8" s="3" t="s">
        <v>23</v>
      </c>
      <c r="L8" s="2" t="s">
        <v>24</v>
      </c>
      <c r="M8" s="2" t="s">
        <v>25</v>
      </c>
      <c r="N8" s="2" t="s">
        <v>26</v>
      </c>
      <c r="O8" s="5" t="str">
        <f t="shared" si="0"/>
        <v>C0402</v>
      </c>
      <c r="P8" s="2" t="s">
        <v>26</v>
      </c>
      <c r="Q8" s="2" t="str">
        <f t="shared" si="1"/>
        <v>C0402_RF</v>
      </c>
      <c r="R8" s="2" t="str">
        <f t="shared" si="2"/>
        <v>C-0402-NP0-50-1000pF J</v>
      </c>
      <c r="S8" s="2" t="str">
        <f t="shared" si="3"/>
        <v>C-0402-NP0-50-1000pF J</v>
      </c>
    </row>
    <row r="9" spans="1:19" s="2" customFormat="1" ht="20.100000000000001" customHeight="1" x14ac:dyDescent="0.25">
      <c r="A9" s="2" t="s">
        <v>51</v>
      </c>
      <c r="B9" s="30" t="s">
        <v>1226</v>
      </c>
      <c r="C9" s="3" t="s">
        <v>604</v>
      </c>
      <c r="D9" s="2" t="s">
        <v>19</v>
      </c>
      <c r="E9" s="3" t="s">
        <v>53</v>
      </c>
      <c r="F9" s="3">
        <v>50</v>
      </c>
      <c r="G9" s="3" t="s">
        <v>21</v>
      </c>
      <c r="H9" s="3" t="s">
        <v>54</v>
      </c>
      <c r="I9" s="3"/>
      <c r="J9" t="s">
        <v>586</v>
      </c>
      <c r="K9" s="4" t="s">
        <v>23</v>
      </c>
      <c r="L9" s="2" t="s">
        <v>24</v>
      </c>
      <c r="M9" s="2" t="s">
        <v>25</v>
      </c>
      <c r="N9" s="2" t="s">
        <v>26</v>
      </c>
      <c r="O9" s="5" t="str">
        <f t="shared" si="0"/>
        <v>C0402</v>
      </c>
      <c r="P9" s="2" t="s">
        <v>26</v>
      </c>
      <c r="Q9" s="2" t="str">
        <f t="shared" si="1"/>
        <v>C0402_RF</v>
      </c>
      <c r="R9" s="2" t="str">
        <f t="shared" si="2"/>
        <v>C-0402-NP0-50-100pF G</v>
      </c>
      <c r="S9" s="2" t="str">
        <f t="shared" si="3"/>
        <v>C-0402-NP0-50-100pF G</v>
      </c>
    </row>
    <row r="10" spans="1:19" s="2" customFormat="1" ht="20.100000000000001" customHeight="1" x14ac:dyDescent="0.25">
      <c r="A10" s="2" t="s">
        <v>55</v>
      </c>
      <c r="B10" s="30" t="s">
        <v>1227</v>
      </c>
      <c r="C10" s="3" t="s">
        <v>604</v>
      </c>
      <c r="D10" s="5" t="s">
        <v>19</v>
      </c>
      <c r="E10" s="2" t="s">
        <v>57</v>
      </c>
      <c r="F10" s="2">
        <v>50</v>
      </c>
      <c r="G10" s="3" t="s">
        <v>21</v>
      </c>
      <c r="H10" s="3" t="s">
        <v>22</v>
      </c>
      <c r="I10" s="3"/>
      <c r="J10" t="s">
        <v>586</v>
      </c>
      <c r="K10" s="3" t="s">
        <v>23</v>
      </c>
      <c r="L10" s="2" t="s">
        <v>24</v>
      </c>
      <c r="M10" s="2" t="s">
        <v>25</v>
      </c>
      <c r="N10" s="2" t="s">
        <v>26</v>
      </c>
      <c r="O10" s="5" t="str">
        <f t="shared" si="0"/>
        <v>C0402</v>
      </c>
      <c r="P10" s="2" t="s">
        <v>26</v>
      </c>
      <c r="Q10" s="2" t="str">
        <f t="shared" si="1"/>
        <v>C0402_RF</v>
      </c>
      <c r="R10" s="2" t="str">
        <f t="shared" si="2"/>
        <v>C-0402-NP0-50-10pF J</v>
      </c>
      <c r="S10" s="2" t="str">
        <f t="shared" si="3"/>
        <v>C-0402-NP0-50-10pF J</v>
      </c>
    </row>
    <row r="11" spans="1:19" s="2" customFormat="1" ht="20.100000000000001" customHeight="1" x14ac:dyDescent="0.25">
      <c r="A11" s="2" t="s">
        <v>95</v>
      </c>
      <c r="B11" s="30" t="s">
        <v>96</v>
      </c>
      <c r="C11" s="3" t="s">
        <v>604</v>
      </c>
      <c r="D11" s="5" t="s">
        <v>19</v>
      </c>
      <c r="E11" s="3" t="s">
        <v>97</v>
      </c>
      <c r="F11" s="2">
        <v>50</v>
      </c>
      <c r="G11" s="3" t="s">
        <v>21</v>
      </c>
      <c r="H11" s="3" t="s">
        <v>22</v>
      </c>
      <c r="I11" s="3"/>
      <c r="J11" t="s">
        <v>586</v>
      </c>
      <c r="K11" s="3" t="s">
        <v>23</v>
      </c>
      <c r="L11" s="2" t="s">
        <v>24</v>
      </c>
      <c r="M11" s="2" t="s">
        <v>25</v>
      </c>
      <c r="N11" s="2" t="s">
        <v>26</v>
      </c>
      <c r="O11" s="5" t="str">
        <f t="shared" si="0"/>
        <v>C0402</v>
      </c>
      <c r="P11" s="2" t="s">
        <v>26</v>
      </c>
      <c r="Q11" s="2" t="str">
        <f t="shared" si="1"/>
        <v>C0402_RF</v>
      </c>
      <c r="R11" s="2" t="str">
        <f t="shared" si="2"/>
        <v>C-0402-NP0-50-390pF J</v>
      </c>
      <c r="S11" s="2" t="str">
        <f t="shared" si="3"/>
        <v>C-0402-NP0-50-390pF J</v>
      </c>
    </row>
    <row r="12" spans="1:19" s="2" customFormat="1" ht="20.100000000000001" customHeight="1" x14ac:dyDescent="0.25">
      <c r="A12" s="2" t="s">
        <v>98</v>
      </c>
      <c r="B12" s="30" t="s">
        <v>1228</v>
      </c>
      <c r="C12" s="3" t="s">
        <v>604</v>
      </c>
      <c r="D12" s="5" t="s">
        <v>19</v>
      </c>
      <c r="E12" s="3" t="s">
        <v>100</v>
      </c>
      <c r="F12" s="2">
        <v>50</v>
      </c>
      <c r="G12" s="3" t="s">
        <v>21</v>
      </c>
      <c r="H12" s="3" t="s">
        <v>22</v>
      </c>
      <c r="I12" s="3"/>
      <c r="J12" t="s">
        <v>586</v>
      </c>
      <c r="K12" s="3" t="s">
        <v>23</v>
      </c>
      <c r="L12" s="2" t="s">
        <v>24</v>
      </c>
      <c r="M12" s="2" t="s">
        <v>25</v>
      </c>
      <c r="N12" s="2" t="s">
        <v>26</v>
      </c>
      <c r="O12" s="5" t="str">
        <f t="shared" si="0"/>
        <v>C0402</v>
      </c>
      <c r="P12" s="2" t="s">
        <v>26</v>
      </c>
      <c r="Q12" s="2" t="str">
        <f t="shared" si="1"/>
        <v>C0402_RF</v>
      </c>
      <c r="R12" s="2" t="str">
        <f t="shared" si="2"/>
        <v>C-0402-NP0-50-39pF J</v>
      </c>
      <c r="S12" s="2" t="str">
        <f t="shared" si="3"/>
        <v>C-0402-NP0-50-39pF J</v>
      </c>
    </row>
    <row r="13" spans="1:19" s="2" customFormat="1" ht="20.100000000000001" customHeight="1" x14ac:dyDescent="0.25">
      <c r="A13" s="2" t="s">
        <v>1229</v>
      </c>
      <c r="B13" s="30" t="s">
        <v>1230</v>
      </c>
      <c r="C13" s="3" t="s">
        <v>604</v>
      </c>
      <c r="D13" s="5" t="s">
        <v>19</v>
      </c>
      <c r="E13" s="3" t="s">
        <v>1231</v>
      </c>
      <c r="F13" s="2">
        <v>50</v>
      </c>
      <c r="G13" s="3" t="s">
        <v>21</v>
      </c>
      <c r="H13" s="3" t="s">
        <v>22</v>
      </c>
      <c r="I13" s="3"/>
      <c r="J13" t="s">
        <v>586</v>
      </c>
      <c r="K13" s="3" t="s">
        <v>23</v>
      </c>
      <c r="L13" s="2" t="s">
        <v>24</v>
      </c>
      <c r="M13" s="2" t="s">
        <v>25</v>
      </c>
      <c r="N13" s="2" t="s">
        <v>26</v>
      </c>
      <c r="O13" s="5" t="str">
        <f t="shared" si="0"/>
        <v>C0402</v>
      </c>
      <c r="P13" s="2" t="s">
        <v>26</v>
      </c>
      <c r="Q13" s="2" t="str">
        <f t="shared" si="1"/>
        <v>C0402_RF</v>
      </c>
      <c r="R13" s="2" t="str">
        <f t="shared" si="2"/>
        <v>C-0402-NP0-50-680pF J</v>
      </c>
      <c r="S13" s="2" t="str">
        <f t="shared" si="3"/>
        <v>C-0402-NP0-50-680pF J</v>
      </c>
    </row>
    <row r="14" spans="1:19" s="2" customFormat="1" ht="20.100000000000001" customHeight="1" x14ac:dyDescent="0.25">
      <c r="A14" s="2" t="s">
        <v>1232</v>
      </c>
      <c r="B14" s="30" t="s">
        <v>1233</v>
      </c>
      <c r="C14" s="3" t="s">
        <v>604</v>
      </c>
      <c r="D14" s="5" t="s">
        <v>19</v>
      </c>
      <c r="E14" s="3" t="s">
        <v>1234</v>
      </c>
      <c r="F14" s="2">
        <v>50</v>
      </c>
      <c r="G14" s="3" t="s">
        <v>21</v>
      </c>
      <c r="H14" s="3" t="s">
        <v>1222</v>
      </c>
      <c r="I14" s="3"/>
      <c r="J14" t="s">
        <v>586</v>
      </c>
      <c r="K14" s="3" t="s">
        <v>23</v>
      </c>
      <c r="L14" s="2" t="s">
        <v>24</v>
      </c>
      <c r="M14" s="2" t="s">
        <v>25</v>
      </c>
      <c r="N14" s="2" t="s">
        <v>26</v>
      </c>
      <c r="O14" s="5" t="str">
        <f t="shared" si="0"/>
        <v>C0402</v>
      </c>
      <c r="P14" s="2" t="s">
        <v>26</v>
      </c>
      <c r="Q14" s="2" t="str">
        <f t="shared" si="1"/>
        <v>C0402_RF</v>
      </c>
      <c r="R14" s="2" t="str">
        <f t="shared" si="2"/>
        <v>C-0402-NP0-50-5.6pF B</v>
      </c>
      <c r="S14" s="2" t="str">
        <f t="shared" si="3"/>
        <v>C-0402-NP0-50-5.6pF B</v>
      </c>
    </row>
    <row r="15" spans="1:19" s="2" customFormat="1" ht="20.100000000000001" customHeight="1" x14ac:dyDescent="0.25">
      <c r="A15" s="2" t="s">
        <v>1235</v>
      </c>
      <c r="B15" s="30" t="s">
        <v>1236</v>
      </c>
      <c r="C15" s="3" t="s">
        <v>604</v>
      </c>
      <c r="D15" s="5" t="s">
        <v>19</v>
      </c>
      <c r="E15" s="3" t="s">
        <v>1237</v>
      </c>
      <c r="F15" s="2">
        <v>50</v>
      </c>
      <c r="G15" s="3" t="s">
        <v>21</v>
      </c>
      <c r="H15" s="3" t="s">
        <v>22</v>
      </c>
      <c r="I15" s="3"/>
      <c r="J15" t="s">
        <v>586</v>
      </c>
      <c r="K15" s="3" t="s">
        <v>23</v>
      </c>
      <c r="L15" s="2" t="s">
        <v>24</v>
      </c>
      <c r="M15" s="2" t="s">
        <v>25</v>
      </c>
      <c r="N15" s="2" t="s">
        <v>26</v>
      </c>
      <c r="O15" s="5" t="str">
        <f t="shared" si="0"/>
        <v>C0402</v>
      </c>
      <c r="P15" s="2" t="s">
        <v>26</v>
      </c>
      <c r="Q15" s="2" t="str">
        <f t="shared" si="1"/>
        <v>C0402_RF</v>
      </c>
      <c r="R15" s="2" t="str">
        <f t="shared" si="2"/>
        <v>C-0402-NP0-50-18pF J</v>
      </c>
      <c r="S15" s="2" t="str">
        <f t="shared" si="3"/>
        <v>C-0402-NP0-50-18pF J</v>
      </c>
    </row>
    <row r="16" spans="1:19" s="2" customFormat="1" ht="20.100000000000001" customHeight="1" x14ac:dyDescent="0.25">
      <c r="A16" s="44" t="s">
        <v>1238</v>
      </c>
      <c r="B16" s="30" t="s">
        <v>1239</v>
      </c>
      <c r="C16" s="3" t="s">
        <v>604</v>
      </c>
      <c r="D16" s="5" t="s">
        <v>19</v>
      </c>
      <c r="E16" s="3" t="s">
        <v>1240</v>
      </c>
      <c r="F16" s="2">
        <v>50</v>
      </c>
      <c r="G16" s="3" t="s">
        <v>21</v>
      </c>
      <c r="H16" s="3" t="s">
        <v>22</v>
      </c>
      <c r="I16" s="3"/>
      <c r="J16" t="s">
        <v>586</v>
      </c>
      <c r="K16" s="3" t="s">
        <v>23</v>
      </c>
      <c r="L16" s="2" t="s">
        <v>24</v>
      </c>
      <c r="M16" s="2" t="s">
        <v>25</v>
      </c>
      <c r="N16" s="2" t="s">
        <v>26</v>
      </c>
      <c r="O16" s="5" t="str">
        <f t="shared" si="0"/>
        <v>C0402</v>
      </c>
      <c r="P16" s="2" t="s">
        <v>26</v>
      </c>
      <c r="Q16" s="2" t="str">
        <f t="shared" si="1"/>
        <v>C0402_RF</v>
      </c>
      <c r="R16" s="2" t="str">
        <f t="shared" si="2"/>
        <v>C-0402-NP0-50-22pF J</v>
      </c>
      <c r="S16" s="2" t="str">
        <f t="shared" si="3"/>
        <v>C-0402-NP0-50-22pF J</v>
      </c>
    </row>
    <row r="17" spans="1:19" s="2" customFormat="1" ht="20.100000000000001" customHeight="1" x14ac:dyDescent="0.25">
      <c r="A17" s="33" t="s">
        <v>1363</v>
      </c>
      <c r="B17" s="2" t="s">
        <v>1364</v>
      </c>
      <c r="C17" s="5" t="s">
        <v>1214</v>
      </c>
      <c r="D17" s="35" t="s">
        <v>90</v>
      </c>
      <c r="E17" s="33" t="s">
        <v>53</v>
      </c>
      <c r="F17" s="2">
        <v>250</v>
      </c>
      <c r="G17" s="3" t="s">
        <v>21</v>
      </c>
      <c r="H17" s="3" t="s">
        <v>22</v>
      </c>
      <c r="J17" t="s">
        <v>586</v>
      </c>
      <c r="K17" s="3" t="s">
        <v>23</v>
      </c>
      <c r="L17" s="5" t="s">
        <v>24</v>
      </c>
      <c r="M17" s="5" t="s">
        <v>25</v>
      </c>
      <c r="N17" s="5" t="s">
        <v>26</v>
      </c>
      <c r="O17" s="5" t="str">
        <f t="shared" si="0"/>
        <v>C0603</v>
      </c>
      <c r="P17" s="5" t="s">
        <v>26</v>
      </c>
      <c r="Q17" s="5" t="str">
        <f t="shared" ref="Q17:Q18" si="4">O17&amp;"_RF"</f>
        <v>C0603_RF</v>
      </c>
      <c r="R17" s="33" t="s">
        <v>1365</v>
      </c>
      <c r="S17" s="5" t="str">
        <f>R17</f>
        <v>C-0603-600S101JW250X</v>
      </c>
    </row>
    <row r="18" spans="1:19" s="2" customFormat="1" ht="20.100000000000001" customHeight="1" x14ac:dyDescent="0.25">
      <c r="A18" s="44" t="s">
        <v>1506</v>
      </c>
      <c r="B18" s="2" t="s">
        <v>1505</v>
      </c>
      <c r="C18" s="3" t="s">
        <v>604</v>
      </c>
      <c r="D18" s="49" t="s">
        <v>60</v>
      </c>
      <c r="E18" s="44" t="s">
        <v>1507</v>
      </c>
      <c r="F18" s="2">
        <v>250</v>
      </c>
      <c r="G18" s="3" t="s">
        <v>21</v>
      </c>
      <c r="H18" s="3" t="s">
        <v>22</v>
      </c>
      <c r="J18" t="s">
        <v>586</v>
      </c>
      <c r="K18" s="3" t="s">
        <v>23</v>
      </c>
      <c r="L18" s="5" t="s">
        <v>24</v>
      </c>
      <c r="M18" s="5" t="s">
        <v>25</v>
      </c>
      <c r="N18" s="5" t="s">
        <v>26</v>
      </c>
      <c r="O18" s="5" t="str">
        <f t="shared" si="0"/>
        <v>C0805</v>
      </c>
      <c r="P18" s="5" t="s">
        <v>26</v>
      </c>
      <c r="Q18" s="5" t="str">
        <f t="shared" si="4"/>
        <v>C0805_RF</v>
      </c>
      <c r="R18" s="5" t="str">
        <f t="shared" si="2"/>
        <v>C-0805-NP0-250-150pF J</v>
      </c>
      <c r="S18" s="5" t="str">
        <f t="shared" si="3"/>
        <v>C-0805-NP0-250-150pF J</v>
      </c>
    </row>
    <row r="19" spans="1:19" s="2" customFormat="1" ht="20.100000000000001" customHeight="1" x14ac:dyDescent="0.25">
      <c r="A19" s="44" t="s">
        <v>1531</v>
      </c>
      <c r="B19" s="2" t="s">
        <v>1532</v>
      </c>
      <c r="C19" s="2" t="s">
        <v>1214</v>
      </c>
      <c r="D19" s="49" t="s">
        <v>90</v>
      </c>
      <c r="E19" s="44" t="s">
        <v>1533</v>
      </c>
      <c r="F19" s="2">
        <v>250</v>
      </c>
      <c r="G19" s="3" t="s">
        <v>21</v>
      </c>
      <c r="H19" s="44" t="s">
        <v>1534</v>
      </c>
      <c r="J19" t="s">
        <v>586</v>
      </c>
      <c r="K19" s="3" t="s">
        <v>23</v>
      </c>
      <c r="L19" s="5" t="s">
        <v>24</v>
      </c>
      <c r="M19" s="5" t="s">
        <v>25</v>
      </c>
      <c r="N19" s="5" t="s">
        <v>26</v>
      </c>
      <c r="O19" s="5" t="str">
        <f t="shared" ref="O19" si="5">"C"&amp;D19</f>
        <v>C0603</v>
      </c>
      <c r="P19" s="5" t="s">
        <v>26</v>
      </c>
      <c r="Q19" s="5" t="str">
        <f t="shared" ref="Q19" si="6">O19&amp;"_RF"</f>
        <v>C0603_RF</v>
      </c>
      <c r="R19" s="5" t="str">
        <f t="shared" ref="R19" si="7">"C-"&amp;D19&amp;"-"&amp;G19&amp;"-"&amp;F19&amp;"-"&amp;E19&amp;" "&amp;IF(H19="±0,03","A",IF(H19="±0,1","B",IF(H19="±0,25","C",IF(H19="±0,5","D",IF(H19="±1%","F",IF(H19="±2%","G",IF(H19="±5%","J",IF(H19="±10%","K",IF(H19="±20%","M","")))))))))</f>
        <v xml:space="preserve">C-0603-NP0-250-2pF </v>
      </c>
      <c r="S19" s="5" t="str">
        <f t="shared" ref="S19" si="8">R19</f>
        <v xml:space="preserve">C-0603-NP0-250-2pF </v>
      </c>
    </row>
  </sheetData>
  <phoneticPr fontId="12" type="noConversion"/>
  <conditionalFormatting sqref="O2:O19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17"/>
  <sheetViews>
    <sheetView showGridLines="0" topLeftCell="A73" zoomScale="85" zoomScaleNormal="85" workbookViewId="0">
      <selection activeCell="I120" sqref="I120"/>
    </sheetView>
  </sheetViews>
  <sheetFormatPr defaultColWidth="11" defaultRowHeight="15.75" x14ac:dyDescent="0.25"/>
  <cols>
    <col min="1" max="1" width="22" style="1" customWidth="1"/>
    <col min="2" max="2" width="48.25" style="1" customWidth="1"/>
    <col min="3" max="3" width="14.5" style="1" customWidth="1"/>
    <col min="4" max="4" width="9.875" style="1" customWidth="1"/>
    <col min="5" max="5" width="7.625" style="1" customWidth="1"/>
    <col min="6" max="6" width="11.25" customWidth="1"/>
    <col min="7" max="7" width="27.875" style="1" customWidth="1"/>
    <col min="8" max="8" width="11.75" style="1" customWidth="1"/>
    <col min="9" max="9" width="35.625" style="1" customWidth="1"/>
    <col min="10" max="10" width="21" style="29" customWidth="1"/>
    <col min="11" max="11" width="23" style="1" customWidth="1"/>
    <col min="12" max="12" width="24.5" style="1" customWidth="1"/>
    <col min="13" max="16384" width="11" style="1"/>
  </cols>
  <sheetData>
    <row r="1" spans="1:12" x14ac:dyDescent="0.2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7</v>
      </c>
      <c r="G1" s="10" t="s">
        <v>9</v>
      </c>
      <c r="H1" s="10" t="s">
        <v>10</v>
      </c>
      <c r="I1" s="10" t="s">
        <v>156</v>
      </c>
      <c r="J1" s="11" t="s">
        <v>157</v>
      </c>
      <c r="K1" s="19" t="s">
        <v>15</v>
      </c>
      <c r="L1" s="19" t="s">
        <v>158</v>
      </c>
    </row>
    <row r="2" spans="1:12" x14ac:dyDescent="0.25">
      <c r="A2" s="10" t="s">
        <v>292</v>
      </c>
      <c r="B2" s="3" t="s">
        <v>293</v>
      </c>
      <c r="C2" s="10" t="s">
        <v>294</v>
      </c>
      <c r="D2" s="5" t="s">
        <v>19</v>
      </c>
      <c r="E2" s="10" t="s">
        <v>295</v>
      </c>
      <c r="F2" s="20" t="s">
        <v>296</v>
      </c>
      <c r="G2" s="10" t="s">
        <v>297</v>
      </c>
      <c r="H2" s="10" t="s">
        <v>298</v>
      </c>
      <c r="I2" s="10" t="s">
        <v>299</v>
      </c>
      <c r="J2" s="11" t="str">
        <f t="shared" ref="J2:J33" si="0">"R"&amp;D2</f>
        <v>R0402</v>
      </c>
      <c r="K2" s="11" t="str">
        <f t="shared" ref="K2:K33" si="1">"R-"&amp;D2&amp;"-"&amp;E2&amp;" "&amp;IF(F2="±0,03","A",IF(F2="±0,1","B",IF(F2="±0,25","C",IF(F2="±0,5","D",IF(F2="±1%","F",IF(F2="±2%","G",IF(F2="±5%","J",IF(F2="±10%","K",IF(F2="±20%","M","")))))))))</f>
        <v>R-0402-0R F</v>
      </c>
      <c r="L2" s="10" t="str">
        <f t="shared" ref="L2:L33" si="2">K2</f>
        <v>R-0402-0R F</v>
      </c>
    </row>
    <row r="3" spans="1:12" x14ac:dyDescent="0.25">
      <c r="A3" s="10" t="s">
        <v>300</v>
      </c>
      <c r="B3" s="3" t="s">
        <v>301</v>
      </c>
      <c r="C3" s="10" t="s">
        <v>294</v>
      </c>
      <c r="D3" s="10" t="s">
        <v>60</v>
      </c>
      <c r="E3" s="10" t="s">
        <v>295</v>
      </c>
      <c r="F3" s="20" t="s">
        <v>296</v>
      </c>
      <c r="G3" s="10" t="s">
        <v>297</v>
      </c>
      <c r="H3" s="10" t="s">
        <v>298</v>
      </c>
      <c r="I3" s="10" t="s">
        <v>299</v>
      </c>
      <c r="J3" s="11" t="str">
        <f t="shared" si="0"/>
        <v>R0805</v>
      </c>
      <c r="K3" s="11" t="str">
        <f t="shared" si="1"/>
        <v>R-0805-0R F</v>
      </c>
      <c r="L3" s="10" t="str">
        <f t="shared" si="2"/>
        <v>R-0805-0R F</v>
      </c>
    </row>
    <row r="4" spans="1:12" x14ac:dyDescent="0.25">
      <c r="A4" s="10" t="s">
        <v>502</v>
      </c>
      <c r="B4" s="3" t="s">
        <v>503</v>
      </c>
      <c r="C4" s="10" t="s">
        <v>294</v>
      </c>
      <c r="D4" s="10" t="s">
        <v>129</v>
      </c>
      <c r="E4" s="10" t="s">
        <v>295</v>
      </c>
      <c r="F4" s="20" t="s">
        <v>296</v>
      </c>
      <c r="G4" s="10" t="s">
        <v>297</v>
      </c>
      <c r="H4" s="10" t="s">
        <v>298</v>
      </c>
      <c r="I4" s="10" t="s">
        <v>299</v>
      </c>
      <c r="J4" s="11" t="str">
        <f t="shared" si="0"/>
        <v>R0201</v>
      </c>
      <c r="K4" s="11" t="str">
        <f t="shared" si="1"/>
        <v>R-0201-0R F</v>
      </c>
      <c r="L4" s="10" t="str">
        <f t="shared" si="2"/>
        <v>R-0201-0R F</v>
      </c>
    </row>
    <row r="5" spans="1:12" x14ac:dyDescent="0.25">
      <c r="A5" s="10" t="s">
        <v>576</v>
      </c>
      <c r="B5" s="12" t="s">
        <v>577</v>
      </c>
      <c r="C5" s="10" t="s">
        <v>578</v>
      </c>
      <c r="D5" s="10" t="s">
        <v>579</v>
      </c>
      <c r="E5" s="10" t="s">
        <v>580</v>
      </c>
      <c r="F5" s="20" t="s">
        <v>296</v>
      </c>
      <c r="G5" s="10" t="s">
        <v>297</v>
      </c>
      <c r="H5" s="10" t="s">
        <v>298</v>
      </c>
      <c r="I5" s="10" t="s">
        <v>299</v>
      </c>
      <c r="J5" s="11" t="str">
        <f t="shared" si="0"/>
        <v>R1206</v>
      </c>
      <c r="K5" s="11" t="str">
        <f t="shared" si="1"/>
        <v>R-1206-0R05 F</v>
      </c>
      <c r="L5" s="10" t="str">
        <f t="shared" si="2"/>
        <v>R-1206-0R05 F</v>
      </c>
    </row>
    <row r="6" spans="1:12" x14ac:dyDescent="0.25">
      <c r="A6" s="10" t="s">
        <v>302</v>
      </c>
      <c r="B6" s="3" t="s">
        <v>303</v>
      </c>
      <c r="C6" s="10" t="s">
        <v>294</v>
      </c>
      <c r="D6" s="5" t="s">
        <v>19</v>
      </c>
      <c r="E6" s="10" t="s">
        <v>304</v>
      </c>
      <c r="F6" s="20" t="s">
        <v>296</v>
      </c>
      <c r="G6" s="10" t="s">
        <v>297</v>
      </c>
      <c r="H6" s="10" t="s">
        <v>298</v>
      </c>
      <c r="I6" s="10" t="s">
        <v>299</v>
      </c>
      <c r="J6" s="11" t="str">
        <f t="shared" si="0"/>
        <v>R0402</v>
      </c>
      <c r="K6" s="11" t="str">
        <f t="shared" si="1"/>
        <v>R-0402-100K F</v>
      </c>
      <c r="L6" s="10" t="str">
        <f t="shared" si="2"/>
        <v>R-0402-100K F</v>
      </c>
    </row>
    <row r="7" spans="1:12" x14ac:dyDescent="0.25">
      <c r="A7" s="10" t="s">
        <v>305</v>
      </c>
      <c r="B7" s="3" t="s">
        <v>306</v>
      </c>
      <c r="C7" s="10" t="s">
        <v>294</v>
      </c>
      <c r="D7" s="5" t="s">
        <v>19</v>
      </c>
      <c r="E7" s="10" t="s">
        <v>307</v>
      </c>
      <c r="F7" s="20" t="s">
        <v>296</v>
      </c>
      <c r="G7" s="10" t="s">
        <v>297</v>
      </c>
      <c r="H7" s="10" t="s">
        <v>298</v>
      </c>
      <c r="I7" s="10" t="s">
        <v>299</v>
      </c>
      <c r="J7" s="11" t="str">
        <f t="shared" si="0"/>
        <v>R0402</v>
      </c>
      <c r="K7" s="11" t="str">
        <f t="shared" si="1"/>
        <v>R-0402-100R F</v>
      </c>
      <c r="L7" s="10" t="str">
        <f t="shared" si="2"/>
        <v>R-0402-100R F</v>
      </c>
    </row>
    <row r="8" spans="1:12" x14ac:dyDescent="0.25">
      <c r="A8" s="10" t="s">
        <v>435</v>
      </c>
      <c r="B8" s="3" t="s">
        <v>436</v>
      </c>
      <c r="C8" s="10" t="s">
        <v>294</v>
      </c>
      <c r="D8" s="10" t="s">
        <v>129</v>
      </c>
      <c r="E8" s="10" t="s">
        <v>307</v>
      </c>
      <c r="F8" s="20" t="s">
        <v>296</v>
      </c>
      <c r="G8" s="10" t="s">
        <v>297</v>
      </c>
      <c r="H8" s="10" t="s">
        <v>298</v>
      </c>
      <c r="I8" s="10" t="s">
        <v>299</v>
      </c>
      <c r="J8" s="11" t="str">
        <f t="shared" si="0"/>
        <v>R0201</v>
      </c>
      <c r="K8" s="11" t="str">
        <f t="shared" si="1"/>
        <v>R-0201-100R F</v>
      </c>
      <c r="L8" s="10" t="str">
        <f t="shared" si="2"/>
        <v>R-0201-100R F</v>
      </c>
    </row>
    <row r="9" spans="1:12" x14ac:dyDescent="0.25">
      <c r="A9" s="10" t="s">
        <v>308</v>
      </c>
      <c r="B9" s="3" t="s">
        <v>309</v>
      </c>
      <c r="C9" s="10" t="s">
        <v>294</v>
      </c>
      <c r="D9" s="5" t="s">
        <v>19</v>
      </c>
      <c r="E9" s="10" t="s">
        <v>310</v>
      </c>
      <c r="F9" s="20" t="s">
        <v>296</v>
      </c>
      <c r="G9" s="10" t="s">
        <v>297</v>
      </c>
      <c r="H9" s="10" t="s">
        <v>298</v>
      </c>
      <c r="I9" s="10" t="s">
        <v>299</v>
      </c>
      <c r="J9" s="11" t="str">
        <f t="shared" si="0"/>
        <v>R0402</v>
      </c>
      <c r="K9" s="11" t="str">
        <f t="shared" si="1"/>
        <v>R-0402-10K F</v>
      </c>
      <c r="L9" s="10" t="str">
        <f t="shared" si="2"/>
        <v>R-0402-10K F</v>
      </c>
    </row>
    <row r="10" spans="1:12" x14ac:dyDescent="0.25">
      <c r="A10" s="10" t="s">
        <v>516</v>
      </c>
      <c r="B10" s="3" t="s">
        <v>517</v>
      </c>
      <c r="C10" s="10" t="s">
        <v>294</v>
      </c>
      <c r="D10" s="10" t="s">
        <v>129</v>
      </c>
      <c r="E10" s="10" t="s">
        <v>310</v>
      </c>
      <c r="F10" s="20" t="s">
        <v>296</v>
      </c>
      <c r="G10" s="10" t="s">
        <v>297</v>
      </c>
      <c r="H10" s="10" t="s">
        <v>298</v>
      </c>
      <c r="I10" s="10" t="s">
        <v>299</v>
      </c>
      <c r="J10" s="11" t="str">
        <f t="shared" si="0"/>
        <v>R0201</v>
      </c>
      <c r="K10" s="11" t="str">
        <f t="shared" si="1"/>
        <v>R-0201-10K F</v>
      </c>
      <c r="L10" s="10" t="str">
        <f t="shared" si="2"/>
        <v>R-0201-10K F</v>
      </c>
    </row>
    <row r="11" spans="1:12" x14ac:dyDescent="0.25">
      <c r="A11" s="10" t="s">
        <v>311</v>
      </c>
      <c r="B11" s="10" t="s">
        <v>312</v>
      </c>
      <c r="C11" s="10" t="s">
        <v>294</v>
      </c>
      <c r="D11" s="10" t="s">
        <v>19</v>
      </c>
      <c r="E11" s="10" t="s">
        <v>313</v>
      </c>
      <c r="F11" s="20" t="s">
        <v>296</v>
      </c>
      <c r="G11" s="10" t="s">
        <v>297</v>
      </c>
      <c r="H11" s="10" t="s">
        <v>298</v>
      </c>
      <c r="I11" s="10" t="s">
        <v>299</v>
      </c>
      <c r="J11" s="11" t="str">
        <f t="shared" si="0"/>
        <v>R0402</v>
      </c>
      <c r="K11" s="11" t="str">
        <f t="shared" si="1"/>
        <v>R-0402-10K2 F</v>
      </c>
      <c r="L11" s="10" t="str">
        <f t="shared" si="2"/>
        <v>R-0402-10K2 F</v>
      </c>
    </row>
    <row r="12" spans="1:12" x14ac:dyDescent="0.25">
      <c r="A12" s="10" t="s">
        <v>524</v>
      </c>
      <c r="B12" s="3" t="s">
        <v>525</v>
      </c>
      <c r="C12" s="10" t="s">
        <v>294</v>
      </c>
      <c r="D12" s="5" t="s">
        <v>129</v>
      </c>
      <c r="E12" s="10" t="s">
        <v>526</v>
      </c>
      <c r="F12" s="20" t="s">
        <v>296</v>
      </c>
      <c r="G12" s="10" t="s">
        <v>297</v>
      </c>
      <c r="H12" s="10" t="s">
        <v>298</v>
      </c>
      <c r="I12" s="10" t="s">
        <v>299</v>
      </c>
      <c r="J12" s="11" t="str">
        <f t="shared" si="0"/>
        <v>R0201</v>
      </c>
      <c r="K12" s="11" t="str">
        <f t="shared" si="1"/>
        <v>R-0201-10K5 F</v>
      </c>
      <c r="L12" s="10" t="str">
        <f t="shared" si="2"/>
        <v>R-0201-10K5 F</v>
      </c>
    </row>
    <row r="13" spans="1:12" x14ac:dyDescent="0.25">
      <c r="A13" s="10" t="s">
        <v>314</v>
      </c>
      <c r="B13" s="10" t="s">
        <v>315</v>
      </c>
      <c r="C13" s="10" t="s">
        <v>294</v>
      </c>
      <c r="D13" s="5" t="s">
        <v>19</v>
      </c>
      <c r="E13" s="10" t="s">
        <v>316</v>
      </c>
      <c r="F13" s="20" t="s">
        <v>296</v>
      </c>
      <c r="G13" s="10" t="s">
        <v>297</v>
      </c>
      <c r="H13" s="10" t="s">
        <v>298</v>
      </c>
      <c r="I13" s="10" t="s">
        <v>299</v>
      </c>
      <c r="J13" s="11" t="str">
        <f t="shared" si="0"/>
        <v>R0402</v>
      </c>
      <c r="K13" s="11" t="str">
        <f t="shared" si="1"/>
        <v>R-0402-10K7 F</v>
      </c>
      <c r="L13" s="10" t="str">
        <f t="shared" si="2"/>
        <v>R-0402-10K7 F</v>
      </c>
    </row>
    <row r="14" spans="1:12" x14ac:dyDescent="0.25">
      <c r="A14" s="10" t="s">
        <v>414</v>
      </c>
      <c r="B14" s="3" t="s">
        <v>415</v>
      </c>
      <c r="C14" s="10" t="s">
        <v>294</v>
      </c>
      <c r="D14" s="5" t="s">
        <v>19</v>
      </c>
      <c r="E14" s="10" t="s">
        <v>416</v>
      </c>
      <c r="F14" s="20" t="s">
        <v>296</v>
      </c>
      <c r="G14" s="10" t="s">
        <v>297</v>
      </c>
      <c r="H14" s="10" t="s">
        <v>298</v>
      </c>
      <c r="I14" s="10" t="s">
        <v>299</v>
      </c>
      <c r="J14" s="11" t="str">
        <f t="shared" si="0"/>
        <v>R0402</v>
      </c>
      <c r="K14" s="11" t="str">
        <f t="shared" si="1"/>
        <v>R-0402-11K F</v>
      </c>
      <c r="L14" s="10" t="str">
        <f t="shared" si="2"/>
        <v>R-0402-11K F</v>
      </c>
    </row>
    <row r="15" spans="1:12" x14ac:dyDescent="0.25">
      <c r="A15" s="10" t="s">
        <v>487</v>
      </c>
      <c r="B15" s="3" t="s">
        <v>488</v>
      </c>
      <c r="C15" s="10" t="s">
        <v>294</v>
      </c>
      <c r="D15" s="5" t="s">
        <v>19</v>
      </c>
      <c r="E15" s="10" t="s">
        <v>489</v>
      </c>
      <c r="F15" s="20" t="s">
        <v>296</v>
      </c>
      <c r="G15" s="10" t="s">
        <v>297</v>
      </c>
      <c r="H15" s="10" t="s">
        <v>298</v>
      </c>
      <c r="I15" s="10" t="s">
        <v>299</v>
      </c>
      <c r="J15" s="11" t="str">
        <f t="shared" si="0"/>
        <v>R0402</v>
      </c>
      <c r="K15" s="11" t="str">
        <f t="shared" si="1"/>
        <v>R-0402-11K8 F</v>
      </c>
      <c r="L15" s="10" t="str">
        <f t="shared" si="2"/>
        <v>R-0402-11K8 F</v>
      </c>
    </row>
    <row r="16" spans="1:12" x14ac:dyDescent="0.25">
      <c r="A16" s="10" t="s">
        <v>426</v>
      </c>
      <c r="B16" s="3" t="s">
        <v>427</v>
      </c>
      <c r="C16" s="10" t="s">
        <v>294</v>
      </c>
      <c r="D16" s="5" t="s">
        <v>19</v>
      </c>
      <c r="E16" s="10" t="s">
        <v>428</v>
      </c>
      <c r="F16" s="20" t="s">
        <v>296</v>
      </c>
      <c r="G16" s="10" t="s">
        <v>297</v>
      </c>
      <c r="H16" s="10" t="s">
        <v>298</v>
      </c>
      <c r="I16" s="10" t="s">
        <v>299</v>
      </c>
      <c r="J16" s="11" t="str">
        <f t="shared" si="0"/>
        <v>R0402</v>
      </c>
      <c r="K16" s="11" t="str">
        <f t="shared" si="1"/>
        <v>R-0402-120R F</v>
      </c>
      <c r="L16" s="10" t="str">
        <f t="shared" si="2"/>
        <v>R-0402-120R F</v>
      </c>
    </row>
    <row r="17" spans="1:12" x14ac:dyDescent="0.25">
      <c r="A17" s="10" t="s">
        <v>408</v>
      </c>
      <c r="B17" s="10" t="s">
        <v>409</v>
      </c>
      <c r="C17" s="10" t="s">
        <v>294</v>
      </c>
      <c r="D17" s="10" t="s">
        <v>19</v>
      </c>
      <c r="E17" s="10" t="s">
        <v>410</v>
      </c>
      <c r="F17" s="20" t="s">
        <v>296</v>
      </c>
      <c r="G17" s="10" t="s">
        <v>297</v>
      </c>
      <c r="H17" s="10" t="s">
        <v>298</v>
      </c>
      <c r="I17" s="10" t="s">
        <v>299</v>
      </c>
      <c r="J17" s="11" t="str">
        <f t="shared" si="0"/>
        <v>R0402</v>
      </c>
      <c r="K17" s="11" t="str">
        <f t="shared" si="1"/>
        <v>R-0402-12K F</v>
      </c>
      <c r="L17" s="10" t="str">
        <f t="shared" si="2"/>
        <v>R-0402-12K F</v>
      </c>
    </row>
    <row r="18" spans="1:12" x14ac:dyDescent="0.25">
      <c r="A18" s="10" t="s">
        <v>455</v>
      </c>
      <c r="B18" s="3" t="s">
        <v>456</v>
      </c>
      <c r="C18" s="10" t="s">
        <v>294</v>
      </c>
      <c r="D18" s="10" t="s">
        <v>19</v>
      </c>
      <c r="E18" s="10" t="s">
        <v>457</v>
      </c>
      <c r="F18" s="20" t="s">
        <v>296</v>
      </c>
      <c r="G18" s="10" t="s">
        <v>297</v>
      </c>
      <c r="H18" s="10" t="s">
        <v>298</v>
      </c>
      <c r="I18" s="10" t="s">
        <v>299</v>
      </c>
      <c r="J18" s="11" t="str">
        <f t="shared" si="0"/>
        <v>R0402</v>
      </c>
      <c r="K18" s="11" t="str">
        <f t="shared" si="1"/>
        <v>R-0402-12K4 F</v>
      </c>
      <c r="L18" s="10" t="str">
        <f t="shared" si="2"/>
        <v>R-0402-12K4 F</v>
      </c>
    </row>
    <row r="19" spans="1:12" x14ac:dyDescent="0.25">
      <c r="A19" s="10" t="s">
        <v>317</v>
      </c>
      <c r="B19" s="10" t="s">
        <v>318</v>
      </c>
      <c r="C19" s="10" t="s">
        <v>294</v>
      </c>
      <c r="D19" s="10" t="s">
        <v>19</v>
      </c>
      <c r="E19" s="10" t="s">
        <v>319</v>
      </c>
      <c r="F19" s="20" t="s">
        <v>296</v>
      </c>
      <c r="G19" s="10" t="s">
        <v>297</v>
      </c>
      <c r="H19" s="10" t="s">
        <v>298</v>
      </c>
      <c r="I19" s="10" t="s">
        <v>299</v>
      </c>
      <c r="J19" s="11" t="str">
        <f t="shared" si="0"/>
        <v>R0402</v>
      </c>
      <c r="K19" s="11" t="str">
        <f t="shared" si="1"/>
        <v>R-0402-15K F</v>
      </c>
      <c r="L19" s="10" t="str">
        <f t="shared" si="2"/>
        <v>R-0402-15K F</v>
      </c>
    </row>
    <row r="20" spans="1:12" x14ac:dyDescent="0.25">
      <c r="A20" s="10" t="s">
        <v>320</v>
      </c>
      <c r="B20" s="3" t="s">
        <v>321</v>
      </c>
      <c r="C20" s="10" t="s">
        <v>294</v>
      </c>
      <c r="D20" s="5" t="s">
        <v>19</v>
      </c>
      <c r="E20" s="10" t="s">
        <v>322</v>
      </c>
      <c r="F20" s="20" t="s">
        <v>296</v>
      </c>
      <c r="G20" s="10" t="s">
        <v>297</v>
      </c>
      <c r="H20" s="10" t="s">
        <v>298</v>
      </c>
      <c r="I20" s="10" t="s">
        <v>299</v>
      </c>
      <c r="J20" s="11" t="str">
        <f t="shared" si="0"/>
        <v>R0402</v>
      </c>
      <c r="K20" s="11" t="str">
        <f t="shared" si="1"/>
        <v>R-0402-160K F</v>
      </c>
      <c r="L20" s="10" t="str">
        <f t="shared" si="2"/>
        <v>R-0402-160K F</v>
      </c>
    </row>
    <row r="21" spans="1:12" x14ac:dyDescent="0.25">
      <c r="A21" s="10" t="s">
        <v>443</v>
      </c>
      <c r="B21" s="3" t="s">
        <v>444</v>
      </c>
      <c r="C21" s="10" t="s">
        <v>294</v>
      </c>
      <c r="D21" s="10" t="s">
        <v>19</v>
      </c>
      <c r="E21" s="10" t="s">
        <v>445</v>
      </c>
      <c r="F21" s="20" t="s">
        <v>296</v>
      </c>
      <c r="G21" s="10" t="s">
        <v>297</v>
      </c>
      <c r="H21" s="10" t="s">
        <v>298</v>
      </c>
      <c r="I21" s="10" t="s">
        <v>299</v>
      </c>
      <c r="J21" s="11" t="str">
        <f t="shared" si="0"/>
        <v>R0402</v>
      </c>
      <c r="K21" s="11" t="str">
        <f t="shared" si="1"/>
        <v>R-0402-165K F</v>
      </c>
      <c r="L21" s="10" t="str">
        <f t="shared" si="2"/>
        <v>R-0402-165K F</v>
      </c>
    </row>
    <row r="22" spans="1:12" x14ac:dyDescent="0.25">
      <c r="A22" s="10" t="s">
        <v>323</v>
      </c>
      <c r="B22" s="10" t="s">
        <v>324</v>
      </c>
      <c r="C22" s="10" t="s">
        <v>294</v>
      </c>
      <c r="D22" s="10" t="s">
        <v>19</v>
      </c>
      <c r="E22" s="10" t="s">
        <v>325</v>
      </c>
      <c r="F22" s="20" t="s">
        <v>296</v>
      </c>
      <c r="G22" s="10" t="s">
        <v>297</v>
      </c>
      <c r="H22" s="10" t="s">
        <v>298</v>
      </c>
      <c r="I22" s="10" t="s">
        <v>299</v>
      </c>
      <c r="J22" s="11" t="str">
        <f t="shared" si="0"/>
        <v>R0402</v>
      </c>
      <c r="K22" s="11" t="str">
        <f t="shared" si="1"/>
        <v>R-0402-17K8 F</v>
      </c>
      <c r="L22" s="10" t="str">
        <f t="shared" si="2"/>
        <v>R-0402-17K8 F</v>
      </c>
    </row>
    <row r="23" spans="1:12" x14ac:dyDescent="0.25">
      <c r="A23" s="10" t="s">
        <v>393</v>
      </c>
      <c r="B23" s="10" t="s">
        <v>394</v>
      </c>
      <c r="C23" s="10" t="s">
        <v>294</v>
      </c>
      <c r="D23" s="5" t="s">
        <v>19</v>
      </c>
      <c r="E23" s="10" t="s">
        <v>395</v>
      </c>
      <c r="F23" s="20" t="s">
        <v>296</v>
      </c>
      <c r="G23" s="10" t="s">
        <v>297</v>
      </c>
      <c r="H23" s="10" t="s">
        <v>298</v>
      </c>
      <c r="I23" s="10" t="s">
        <v>299</v>
      </c>
      <c r="J23" s="11" t="str">
        <f t="shared" si="0"/>
        <v>R0402</v>
      </c>
      <c r="K23" s="11" t="str">
        <f t="shared" si="1"/>
        <v>R-0402-18K2 F</v>
      </c>
      <c r="L23" s="10" t="str">
        <f t="shared" si="2"/>
        <v>R-0402-18K2 F</v>
      </c>
    </row>
    <row r="24" spans="1:12" x14ac:dyDescent="0.25">
      <c r="A24" s="10" t="s">
        <v>520</v>
      </c>
      <c r="B24" s="3" t="s">
        <v>521</v>
      </c>
      <c r="C24" s="10" t="s">
        <v>294</v>
      </c>
      <c r="D24" s="5" t="s">
        <v>129</v>
      </c>
      <c r="E24" s="10" t="s">
        <v>395</v>
      </c>
      <c r="F24" s="20" t="s">
        <v>296</v>
      </c>
      <c r="G24" s="10" t="s">
        <v>297</v>
      </c>
      <c r="H24" s="10" t="s">
        <v>298</v>
      </c>
      <c r="I24" s="10" t="s">
        <v>299</v>
      </c>
      <c r="J24" s="11" t="str">
        <f t="shared" si="0"/>
        <v>R0201</v>
      </c>
      <c r="K24" s="11" t="str">
        <f t="shared" si="1"/>
        <v>R-0201-18K2 F</v>
      </c>
      <c r="L24" s="10" t="str">
        <f t="shared" si="2"/>
        <v>R-0201-18K2 F</v>
      </c>
    </row>
    <row r="25" spans="1:12" x14ac:dyDescent="0.25">
      <c r="A25" s="10" t="s">
        <v>326</v>
      </c>
      <c r="B25" s="3" t="s">
        <v>327</v>
      </c>
      <c r="C25" s="10" t="s">
        <v>294</v>
      </c>
      <c r="D25" s="5" t="s">
        <v>19</v>
      </c>
      <c r="E25" s="10" t="s">
        <v>328</v>
      </c>
      <c r="F25" s="20" t="s">
        <v>296</v>
      </c>
      <c r="G25" s="10" t="s">
        <v>297</v>
      </c>
      <c r="H25" s="10" t="s">
        <v>298</v>
      </c>
      <c r="I25" s="10" t="s">
        <v>299</v>
      </c>
      <c r="J25" s="11" t="str">
        <f t="shared" si="0"/>
        <v>R0402</v>
      </c>
      <c r="K25" s="11" t="str">
        <f t="shared" si="1"/>
        <v>R-0402-18R2 F</v>
      </c>
      <c r="L25" s="10" t="str">
        <f t="shared" si="2"/>
        <v>R-0402-18R2 F</v>
      </c>
    </row>
    <row r="26" spans="1:12" x14ac:dyDescent="0.25">
      <c r="A26" s="10" t="s">
        <v>473</v>
      </c>
      <c r="B26" s="3" t="s">
        <v>474</v>
      </c>
      <c r="C26" s="10" t="s">
        <v>294</v>
      </c>
      <c r="D26" s="5" t="s">
        <v>19</v>
      </c>
      <c r="E26" s="10" t="s">
        <v>475</v>
      </c>
      <c r="F26" s="20" t="s">
        <v>296</v>
      </c>
      <c r="G26" s="10" t="s">
        <v>297</v>
      </c>
      <c r="H26" s="10" t="s">
        <v>298</v>
      </c>
      <c r="I26" s="10" t="s">
        <v>299</v>
      </c>
      <c r="J26" s="11" t="str">
        <f t="shared" si="0"/>
        <v>R0402</v>
      </c>
      <c r="K26" s="11" t="str">
        <f t="shared" si="1"/>
        <v>R-0402-196K F</v>
      </c>
      <c r="L26" s="10" t="str">
        <f t="shared" si="2"/>
        <v>R-0402-196K F</v>
      </c>
    </row>
    <row r="27" spans="1:12" x14ac:dyDescent="0.25">
      <c r="A27" s="10" t="s">
        <v>329</v>
      </c>
      <c r="B27" s="3" t="s">
        <v>330</v>
      </c>
      <c r="C27" s="10" t="s">
        <v>294</v>
      </c>
      <c r="D27" s="5" t="s">
        <v>19</v>
      </c>
      <c r="E27" s="10" t="s">
        <v>331</v>
      </c>
      <c r="F27" s="20" t="s">
        <v>296</v>
      </c>
      <c r="G27" s="10" t="s">
        <v>297</v>
      </c>
      <c r="H27" s="10" t="s">
        <v>298</v>
      </c>
      <c r="I27" s="10" t="s">
        <v>299</v>
      </c>
      <c r="J27" s="11" t="str">
        <f t="shared" si="0"/>
        <v>R0402</v>
      </c>
      <c r="K27" s="11" t="str">
        <f t="shared" si="1"/>
        <v>R-0402-1K F</v>
      </c>
      <c r="L27" s="10" t="str">
        <f t="shared" si="2"/>
        <v>R-0402-1K F</v>
      </c>
    </row>
    <row r="28" spans="1:12" x14ac:dyDescent="0.25">
      <c r="A28" s="10" t="s">
        <v>332</v>
      </c>
      <c r="B28" s="10" t="s">
        <v>333</v>
      </c>
      <c r="C28" s="10" t="s">
        <v>294</v>
      </c>
      <c r="D28" s="10" t="s">
        <v>19</v>
      </c>
      <c r="E28" s="10" t="s">
        <v>334</v>
      </c>
      <c r="F28" s="20" t="s">
        <v>296</v>
      </c>
      <c r="G28" s="10" t="s">
        <v>297</v>
      </c>
      <c r="H28" s="10" t="s">
        <v>298</v>
      </c>
      <c r="I28" s="10" t="s">
        <v>299</v>
      </c>
      <c r="J28" s="11" t="str">
        <f t="shared" si="0"/>
        <v>R0402</v>
      </c>
      <c r="K28" s="11" t="str">
        <f t="shared" si="1"/>
        <v>R-0402-1K05 F</v>
      </c>
      <c r="L28" s="10" t="str">
        <f t="shared" si="2"/>
        <v>R-0402-1K05 F</v>
      </c>
    </row>
    <row r="29" spans="1:12" x14ac:dyDescent="0.25">
      <c r="A29" s="10" t="s">
        <v>461</v>
      </c>
      <c r="B29" s="3" t="s">
        <v>462</v>
      </c>
      <c r="C29" s="10" t="s">
        <v>294</v>
      </c>
      <c r="D29" s="5" t="s">
        <v>19</v>
      </c>
      <c r="E29" s="10" t="s">
        <v>463</v>
      </c>
      <c r="F29" s="20" t="s">
        <v>296</v>
      </c>
      <c r="G29" s="10" t="s">
        <v>297</v>
      </c>
      <c r="H29" s="10" t="s">
        <v>298</v>
      </c>
      <c r="I29" s="10" t="s">
        <v>299</v>
      </c>
      <c r="J29" s="11" t="str">
        <f t="shared" si="0"/>
        <v>R0402</v>
      </c>
      <c r="K29" s="11" t="str">
        <f t="shared" si="1"/>
        <v>R-0402-1K1 F</v>
      </c>
      <c r="L29" s="10" t="str">
        <f t="shared" si="2"/>
        <v>R-0402-1K1 F</v>
      </c>
    </row>
    <row r="30" spans="1:12" x14ac:dyDescent="0.25">
      <c r="A30" s="10" t="s">
        <v>530</v>
      </c>
      <c r="B30" s="3" t="s">
        <v>531</v>
      </c>
      <c r="C30" s="10" t="s">
        <v>294</v>
      </c>
      <c r="D30" s="5" t="s">
        <v>129</v>
      </c>
      <c r="E30" s="10" t="s">
        <v>532</v>
      </c>
      <c r="F30" s="20" t="s">
        <v>296</v>
      </c>
      <c r="G30" s="10" t="s">
        <v>297</v>
      </c>
      <c r="H30" s="10" t="s">
        <v>298</v>
      </c>
      <c r="I30" s="10" t="s">
        <v>299</v>
      </c>
      <c r="J30" s="11" t="str">
        <f t="shared" si="0"/>
        <v>R0201</v>
      </c>
      <c r="K30" s="11" t="str">
        <f t="shared" si="1"/>
        <v>R-0201-1K15 F</v>
      </c>
      <c r="L30" s="10" t="str">
        <f t="shared" si="2"/>
        <v>R-0201-1K15 F</v>
      </c>
    </row>
    <row r="31" spans="1:12" x14ac:dyDescent="0.25">
      <c r="A31" s="10" t="s">
        <v>335</v>
      </c>
      <c r="B31" s="10" t="s">
        <v>336</v>
      </c>
      <c r="C31" s="10" t="s">
        <v>294</v>
      </c>
      <c r="D31" s="5" t="s">
        <v>19</v>
      </c>
      <c r="E31" s="10" t="s">
        <v>337</v>
      </c>
      <c r="F31" s="20" t="s">
        <v>296</v>
      </c>
      <c r="G31" s="10" t="s">
        <v>297</v>
      </c>
      <c r="H31" s="10" t="s">
        <v>298</v>
      </c>
      <c r="I31" s="10" t="s">
        <v>299</v>
      </c>
      <c r="J31" s="11" t="str">
        <f t="shared" si="0"/>
        <v>R0402</v>
      </c>
      <c r="K31" s="11" t="str">
        <f t="shared" si="1"/>
        <v>R-0402-1K5 F</v>
      </c>
      <c r="L31" s="10" t="str">
        <f t="shared" si="2"/>
        <v>R-0402-1K5 F</v>
      </c>
    </row>
    <row r="32" spans="1:12" x14ac:dyDescent="0.25">
      <c r="A32" s="10" t="s">
        <v>396</v>
      </c>
      <c r="B32" s="10" t="s">
        <v>397</v>
      </c>
      <c r="C32" s="10" t="s">
        <v>294</v>
      </c>
      <c r="D32" s="5" t="s">
        <v>19</v>
      </c>
      <c r="E32" s="10" t="s">
        <v>398</v>
      </c>
      <c r="F32" s="20" t="s">
        <v>296</v>
      </c>
      <c r="G32" s="10" t="s">
        <v>297</v>
      </c>
      <c r="H32" s="10" t="s">
        <v>298</v>
      </c>
      <c r="I32" s="10" t="s">
        <v>299</v>
      </c>
      <c r="J32" s="11" t="str">
        <f t="shared" si="0"/>
        <v>R0402</v>
      </c>
      <c r="K32" s="11" t="str">
        <f t="shared" si="1"/>
        <v>R-0402-1M F</v>
      </c>
      <c r="L32" s="10" t="str">
        <f t="shared" si="2"/>
        <v>R-0402-1M F</v>
      </c>
    </row>
    <row r="33" spans="1:12" x14ac:dyDescent="0.25">
      <c r="A33" s="10" t="s">
        <v>338</v>
      </c>
      <c r="B33" s="10" t="s">
        <v>339</v>
      </c>
      <c r="C33" s="10" t="s">
        <v>294</v>
      </c>
      <c r="D33" s="5" t="s">
        <v>19</v>
      </c>
      <c r="E33" s="10" t="s">
        <v>340</v>
      </c>
      <c r="F33" s="20" t="s">
        <v>296</v>
      </c>
      <c r="G33" s="10" t="s">
        <v>297</v>
      </c>
      <c r="H33" s="10" t="s">
        <v>298</v>
      </c>
      <c r="I33" s="10" t="s">
        <v>299</v>
      </c>
      <c r="J33" s="11" t="str">
        <f t="shared" si="0"/>
        <v>R0402</v>
      </c>
      <c r="K33" s="11" t="str">
        <f t="shared" si="1"/>
        <v>R-0402-200K F</v>
      </c>
      <c r="L33" s="10" t="str">
        <f t="shared" si="2"/>
        <v>R-0402-200K F</v>
      </c>
    </row>
    <row r="34" spans="1:12" x14ac:dyDescent="0.25">
      <c r="A34" s="10" t="s">
        <v>411</v>
      </c>
      <c r="B34" s="3" t="s">
        <v>412</v>
      </c>
      <c r="C34" s="10" t="s">
        <v>294</v>
      </c>
      <c r="D34" s="5" t="s">
        <v>19</v>
      </c>
      <c r="E34" s="10" t="s">
        <v>413</v>
      </c>
      <c r="F34" s="20" t="s">
        <v>296</v>
      </c>
      <c r="G34" s="10" t="s">
        <v>297</v>
      </c>
      <c r="H34" s="10" t="s">
        <v>298</v>
      </c>
      <c r="I34" s="10" t="s">
        <v>299</v>
      </c>
      <c r="J34" s="11" t="str">
        <f t="shared" ref="J34:J65" si="3">"R"&amp;D34</f>
        <v>R0402</v>
      </c>
      <c r="K34" s="11" t="str">
        <f t="shared" ref="K34:K65" si="4">"R-"&amp;D34&amp;"-"&amp;E34&amp;" "&amp;IF(F34="±0,03","A",IF(F34="±0,1","B",IF(F34="±0,25","C",IF(F34="±0,5","D",IF(F34="±1%","F",IF(F34="±2%","G",IF(F34="±5%","J",IF(F34="±10%","K",IF(F34="±20%","M","")))))))))</f>
        <v>R-0402-200R F</v>
      </c>
      <c r="L34" s="10" t="str">
        <f t="shared" ref="L34:L65" si="5">K34</f>
        <v>R-0402-200R F</v>
      </c>
    </row>
    <row r="35" spans="1:12" x14ac:dyDescent="0.25">
      <c r="A35" s="10" t="s">
        <v>341</v>
      </c>
      <c r="B35" s="10" t="s">
        <v>339</v>
      </c>
      <c r="C35" s="10" t="s">
        <v>294</v>
      </c>
      <c r="D35" s="5" t="s">
        <v>19</v>
      </c>
      <c r="E35" s="10" t="s">
        <v>342</v>
      </c>
      <c r="F35" s="20" t="s">
        <v>296</v>
      </c>
      <c r="G35" s="10" t="s">
        <v>297</v>
      </c>
      <c r="H35" s="10" t="s">
        <v>298</v>
      </c>
      <c r="I35" s="10" t="s">
        <v>299</v>
      </c>
      <c r="J35" s="11" t="str">
        <f t="shared" si="3"/>
        <v>R0402</v>
      </c>
      <c r="K35" s="11" t="str">
        <f t="shared" si="4"/>
        <v>R-0402-220K F</v>
      </c>
      <c r="L35" s="10" t="str">
        <f t="shared" si="5"/>
        <v>R-0402-220K F</v>
      </c>
    </row>
    <row r="36" spans="1:12" x14ac:dyDescent="0.25">
      <c r="A36" s="10" t="s">
        <v>467</v>
      </c>
      <c r="B36" s="3" t="s">
        <v>468</v>
      </c>
      <c r="C36" s="10" t="s">
        <v>294</v>
      </c>
      <c r="D36" s="5" t="s">
        <v>19</v>
      </c>
      <c r="E36" s="10" t="s">
        <v>469</v>
      </c>
      <c r="F36" s="20" t="s">
        <v>296</v>
      </c>
      <c r="G36" s="10" t="s">
        <v>297</v>
      </c>
      <c r="H36" s="10" t="s">
        <v>298</v>
      </c>
      <c r="I36" s="10" t="s">
        <v>299</v>
      </c>
      <c r="J36" s="11" t="str">
        <f t="shared" si="3"/>
        <v>R0402</v>
      </c>
      <c r="K36" s="11" t="str">
        <f t="shared" si="4"/>
        <v>R-0402-221R F</v>
      </c>
      <c r="L36" s="10" t="str">
        <f t="shared" si="5"/>
        <v>R-0402-221R F</v>
      </c>
    </row>
    <row r="37" spans="1:12" x14ac:dyDescent="0.25">
      <c r="A37" s="10" t="s">
        <v>437</v>
      </c>
      <c r="B37" s="3" t="s">
        <v>438</v>
      </c>
      <c r="C37" s="10" t="s">
        <v>294</v>
      </c>
      <c r="D37" s="10" t="s">
        <v>19</v>
      </c>
      <c r="E37" s="10" t="s">
        <v>439</v>
      </c>
      <c r="F37" s="20" t="s">
        <v>296</v>
      </c>
      <c r="G37" s="10" t="s">
        <v>297</v>
      </c>
      <c r="H37" s="10" t="s">
        <v>298</v>
      </c>
      <c r="I37" s="10" t="s">
        <v>299</v>
      </c>
      <c r="J37" s="11" t="str">
        <f t="shared" si="3"/>
        <v>R0402</v>
      </c>
      <c r="K37" s="11" t="str">
        <f t="shared" si="4"/>
        <v>R-0402-22K1 F</v>
      </c>
      <c r="L37" s="10" t="str">
        <f t="shared" si="5"/>
        <v>R-0402-22K1 F</v>
      </c>
    </row>
    <row r="38" spans="1:12" x14ac:dyDescent="0.25">
      <c r="A38" s="10" t="s">
        <v>476</v>
      </c>
      <c r="B38" s="3" t="s">
        <v>477</v>
      </c>
      <c r="C38" s="10" t="s">
        <v>294</v>
      </c>
      <c r="D38" s="10" t="s">
        <v>129</v>
      </c>
      <c r="E38" s="10" t="s">
        <v>478</v>
      </c>
      <c r="F38" s="20" t="s">
        <v>296</v>
      </c>
      <c r="G38" s="10" t="s">
        <v>297</v>
      </c>
      <c r="H38" s="10" t="s">
        <v>298</v>
      </c>
      <c r="I38" s="10" t="s">
        <v>299</v>
      </c>
      <c r="J38" s="11" t="str">
        <f t="shared" si="3"/>
        <v>R0201</v>
      </c>
      <c r="K38" s="11" t="str">
        <f t="shared" si="4"/>
        <v>R-0201-22R F</v>
      </c>
      <c r="L38" s="10" t="str">
        <f t="shared" si="5"/>
        <v>R-0201-22R F</v>
      </c>
    </row>
    <row r="39" spans="1:12" x14ac:dyDescent="0.25">
      <c r="A39" s="10" t="s">
        <v>399</v>
      </c>
      <c r="B39" s="10" t="s">
        <v>400</v>
      </c>
      <c r="C39" s="10" t="s">
        <v>294</v>
      </c>
      <c r="D39" s="5" t="s">
        <v>19</v>
      </c>
      <c r="E39" s="10" t="s">
        <v>401</v>
      </c>
      <c r="F39" s="20" t="s">
        <v>296</v>
      </c>
      <c r="G39" s="10" t="s">
        <v>297</v>
      </c>
      <c r="H39" s="10" t="s">
        <v>298</v>
      </c>
      <c r="I39" s="10" t="s">
        <v>299</v>
      </c>
      <c r="J39" s="11" t="str">
        <f t="shared" si="3"/>
        <v>R0402</v>
      </c>
      <c r="K39" s="11" t="str">
        <f t="shared" si="4"/>
        <v>R-0402-243K F</v>
      </c>
      <c r="L39" s="10" t="str">
        <f t="shared" si="5"/>
        <v>R-0402-243K F</v>
      </c>
    </row>
    <row r="40" spans="1:12" x14ac:dyDescent="0.25">
      <c r="A40" s="10" t="s">
        <v>539</v>
      </c>
      <c r="B40" s="3" t="s">
        <v>540</v>
      </c>
      <c r="C40" s="10" t="s">
        <v>294</v>
      </c>
      <c r="D40" s="10" t="s">
        <v>19</v>
      </c>
      <c r="E40" s="10" t="s">
        <v>541</v>
      </c>
      <c r="F40" s="20" t="s">
        <v>538</v>
      </c>
      <c r="G40" s="10" t="s">
        <v>297</v>
      </c>
      <c r="H40" s="10" t="s">
        <v>298</v>
      </c>
      <c r="I40" s="10" t="s">
        <v>299</v>
      </c>
      <c r="J40" s="11" t="str">
        <f t="shared" si="3"/>
        <v>R0402</v>
      </c>
      <c r="K40" s="11" t="str">
        <f t="shared" si="4"/>
        <v xml:space="preserve">R-0402-249R </v>
      </c>
      <c r="L40" s="10" t="str">
        <f t="shared" si="5"/>
        <v xml:space="preserve">R-0402-249R </v>
      </c>
    </row>
    <row r="41" spans="1:12" x14ac:dyDescent="0.25">
      <c r="A41" s="10" t="s">
        <v>504</v>
      </c>
      <c r="B41" s="10" t="s">
        <v>505</v>
      </c>
      <c r="C41" s="10" t="s">
        <v>294</v>
      </c>
      <c r="D41" s="5" t="s">
        <v>19</v>
      </c>
      <c r="E41" s="10" t="s">
        <v>506</v>
      </c>
      <c r="F41" s="20" t="s">
        <v>296</v>
      </c>
      <c r="G41" s="10" t="s">
        <v>297</v>
      </c>
      <c r="H41" s="10" t="s">
        <v>298</v>
      </c>
      <c r="I41" s="10" t="s">
        <v>299</v>
      </c>
      <c r="J41" s="11" t="str">
        <f t="shared" si="3"/>
        <v>R0402</v>
      </c>
      <c r="K41" s="11" t="str">
        <f t="shared" si="4"/>
        <v>R-0402-24K3 F</v>
      </c>
      <c r="L41" s="10" t="str">
        <f t="shared" si="5"/>
        <v>R-0402-24K3 F</v>
      </c>
    </row>
    <row r="42" spans="1:12" x14ac:dyDescent="0.25">
      <c r="A42" s="10" t="s">
        <v>343</v>
      </c>
      <c r="B42" s="10" t="s">
        <v>344</v>
      </c>
      <c r="C42" s="10" t="s">
        <v>294</v>
      </c>
      <c r="D42" s="10" t="s">
        <v>19</v>
      </c>
      <c r="E42" s="10" t="s">
        <v>345</v>
      </c>
      <c r="F42" s="20" t="s">
        <v>296</v>
      </c>
      <c r="G42" s="10" t="s">
        <v>297</v>
      </c>
      <c r="H42" s="10" t="s">
        <v>298</v>
      </c>
      <c r="I42" s="10" t="s">
        <v>299</v>
      </c>
      <c r="J42" s="11" t="str">
        <f t="shared" si="3"/>
        <v>R0402</v>
      </c>
      <c r="K42" s="11" t="str">
        <f t="shared" si="4"/>
        <v>R-0402-24R9 F</v>
      </c>
      <c r="L42" s="10" t="str">
        <f t="shared" si="5"/>
        <v>R-0402-24R9 F</v>
      </c>
    </row>
    <row r="43" spans="1:12" x14ac:dyDescent="0.25">
      <c r="A43" s="10" t="s">
        <v>449</v>
      </c>
      <c r="B43" s="3" t="s">
        <v>450</v>
      </c>
      <c r="C43" s="10" t="s">
        <v>294</v>
      </c>
      <c r="D43" s="10" t="s">
        <v>19</v>
      </c>
      <c r="E43" s="10" t="s">
        <v>451</v>
      </c>
      <c r="F43" s="20" t="s">
        <v>296</v>
      </c>
      <c r="G43" s="10" t="s">
        <v>297</v>
      </c>
      <c r="H43" s="10" t="s">
        <v>298</v>
      </c>
      <c r="I43" s="10" t="s">
        <v>299</v>
      </c>
      <c r="J43" s="11" t="str">
        <f t="shared" si="3"/>
        <v>R0402</v>
      </c>
      <c r="K43" s="11" t="str">
        <f t="shared" si="4"/>
        <v>R-0402-25K5 F</v>
      </c>
      <c r="L43" s="10" t="str">
        <f t="shared" si="5"/>
        <v>R-0402-25K5 F</v>
      </c>
    </row>
    <row r="44" spans="1:12" x14ac:dyDescent="0.25">
      <c r="A44" s="10" t="s">
        <v>544</v>
      </c>
      <c r="B44" s="3" t="s">
        <v>545</v>
      </c>
      <c r="C44" s="10" t="s">
        <v>294</v>
      </c>
      <c r="D44" s="10" t="s">
        <v>19</v>
      </c>
      <c r="E44" s="10" t="s">
        <v>546</v>
      </c>
      <c r="F44" s="20" t="s">
        <v>538</v>
      </c>
      <c r="G44" s="10" t="s">
        <v>297</v>
      </c>
      <c r="H44" s="10" t="s">
        <v>298</v>
      </c>
      <c r="I44" s="10" t="s">
        <v>299</v>
      </c>
      <c r="J44" s="11" t="str">
        <f t="shared" si="3"/>
        <v>R0402</v>
      </c>
      <c r="K44" s="11" t="str">
        <f t="shared" si="4"/>
        <v xml:space="preserve">R-0402-25R </v>
      </c>
      <c r="L44" s="10" t="str">
        <f t="shared" si="5"/>
        <v xml:space="preserve">R-0402-25R </v>
      </c>
    </row>
    <row r="45" spans="1:12" x14ac:dyDescent="0.25">
      <c r="A45" s="10" t="s">
        <v>496</v>
      </c>
      <c r="B45" s="3" t="s">
        <v>497</v>
      </c>
      <c r="C45" s="10" t="s">
        <v>294</v>
      </c>
      <c r="D45" s="5" t="s">
        <v>19</v>
      </c>
      <c r="E45" s="10" t="s">
        <v>498</v>
      </c>
      <c r="F45" s="20" t="s">
        <v>296</v>
      </c>
      <c r="G45" s="10" t="s">
        <v>297</v>
      </c>
      <c r="H45" s="10" t="s">
        <v>298</v>
      </c>
      <c r="I45" s="10" t="s">
        <v>299</v>
      </c>
      <c r="J45" s="11" t="str">
        <f t="shared" si="3"/>
        <v>R0402</v>
      </c>
      <c r="K45" s="11" t="str">
        <f t="shared" si="4"/>
        <v>R-0402-270K F</v>
      </c>
      <c r="L45" s="10" t="str">
        <f t="shared" si="5"/>
        <v>R-0402-270K F</v>
      </c>
    </row>
    <row r="46" spans="1:12" x14ac:dyDescent="0.25">
      <c r="A46" s="10" t="s">
        <v>547</v>
      </c>
      <c r="B46" s="3" t="s">
        <v>548</v>
      </c>
      <c r="C46" s="10" t="s">
        <v>294</v>
      </c>
      <c r="D46" s="5" t="s">
        <v>19</v>
      </c>
      <c r="E46" s="10" t="s">
        <v>549</v>
      </c>
      <c r="F46" s="20" t="s">
        <v>296</v>
      </c>
      <c r="G46" s="10" t="s">
        <v>297</v>
      </c>
      <c r="H46" s="10" t="s">
        <v>298</v>
      </c>
      <c r="I46" s="10" t="s">
        <v>299</v>
      </c>
      <c r="J46" s="11" t="str">
        <f t="shared" si="3"/>
        <v>R0402</v>
      </c>
      <c r="K46" s="11" t="str">
        <f t="shared" si="4"/>
        <v>R-0402-270R F</v>
      </c>
      <c r="L46" s="10" t="str">
        <f t="shared" si="5"/>
        <v>R-0402-270R F</v>
      </c>
    </row>
    <row r="47" spans="1:12" x14ac:dyDescent="0.25">
      <c r="A47" s="10" t="s">
        <v>346</v>
      </c>
      <c r="B47" s="10" t="s">
        <v>347</v>
      </c>
      <c r="C47" s="10" t="s">
        <v>294</v>
      </c>
      <c r="D47" s="5" t="s">
        <v>19</v>
      </c>
      <c r="E47" s="10" t="s">
        <v>348</v>
      </c>
      <c r="F47" s="20" t="s">
        <v>296</v>
      </c>
      <c r="G47" s="10" t="s">
        <v>297</v>
      </c>
      <c r="H47" s="10" t="s">
        <v>298</v>
      </c>
      <c r="I47" s="10" t="s">
        <v>299</v>
      </c>
      <c r="J47" s="11" t="str">
        <f t="shared" si="3"/>
        <v>R0402</v>
      </c>
      <c r="K47" s="11" t="str">
        <f t="shared" si="4"/>
        <v>R-0402-2K F</v>
      </c>
      <c r="L47" s="10" t="str">
        <f t="shared" si="5"/>
        <v>R-0402-2K F</v>
      </c>
    </row>
    <row r="48" spans="1:12" x14ac:dyDescent="0.25">
      <c r="A48" s="10" t="s">
        <v>522</v>
      </c>
      <c r="B48" s="3" t="s">
        <v>523</v>
      </c>
      <c r="C48" s="10" t="s">
        <v>294</v>
      </c>
      <c r="D48" s="5" t="s">
        <v>129</v>
      </c>
      <c r="E48" s="10" t="s">
        <v>348</v>
      </c>
      <c r="F48" s="20" t="s">
        <v>296</v>
      </c>
      <c r="G48" s="10" t="s">
        <v>297</v>
      </c>
      <c r="H48" s="10" t="s">
        <v>298</v>
      </c>
      <c r="I48" s="10" t="s">
        <v>299</v>
      </c>
      <c r="J48" s="11" t="str">
        <f t="shared" si="3"/>
        <v>R0201</v>
      </c>
      <c r="K48" s="11" t="str">
        <f t="shared" si="4"/>
        <v>R-0201-2K F</v>
      </c>
      <c r="L48" s="10" t="str">
        <f t="shared" si="5"/>
        <v>R-0201-2K F</v>
      </c>
    </row>
    <row r="49" spans="1:12" x14ac:dyDescent="0.25">
      <c r="A49" s="10" t="s">
        <v>499</v>
      </c>
      <c r="B49" s="10" t="s">
        <v>500</v>
      </c>
      <c r="C49" s="10" t="s">
        <v>294</v>
      </c>
      <c r="D49" s="5" t="s">
        <v>19</v>
      </c>
      <c r="E49" s="10" t="s">
        <v>501</v>
      </c>
      <c r="F49" s="20" t="s">
        <v>296</v>
      </c>
      <c r="G49" s="10" t="s">
        <v>297</v>
      </c>
      <c r="H49" s="10" t="s">
        <v>298</v>
      </c>
      <c r="I49" s="10" t="s">
        <v>299</v>
      </c>
      <c r="J49" s="11" t="str">
        <f t="shared" si="3"/>
        <v>R0402</v>
      </c>
      <c r="K49" s="11" t="str">
        <f t="shared" si="4"/>
        <v>R-0402-2K2 F</v>
      </c>
      <c r="L49" s="10" t="str">
        <f t="shared" si="5"/>
        <v>R-0402-2K2 F</v>
      </c>
    </row>
    <row r="50" spans="1:12" x14ac:dyDescent="0.25">
      <c r="A50" s="10" t="s">
        <v>484</v>
      </c>
      <c r="B50" s="3" t="s">
        <v>485</v>
      </c>
      <c r="C50" s="10" t="s">
        <v>294</v>
      </c>
      <c r="D50" s="5" t="s">
        <v>19</v>
      </c>
      <c r="E50" s="10" t="s">
        <v>486</v>
      </c>
      <c r="F50" s="20" t="s">
        <v>296</v>
      </c>
      <c r="G50" s="10" t="s">
        <v>297</v>
      </c>
      <c r="H50" s="10" t="s">
        <v>298</v>
      </c>
      <c r="I50" s="10" t="s">
        <v>299</v>
      </c>
      <c r="J50" s="11" t="str">
        <f t="shared" si="3"/>
        <v>R0402</v>
      </c>
      <c r="K50" s="11" t="str">
        <f t="shared" si="4"/>
        <v>R-0402-2K37 F</v>
      </c>
      <c r="L50" s="10" t="str">
        <f t="shared" si="5"/>
        <v>R-0402-2K37 F</v>
      </c>
    </row>
    <row r="51" spans="1:12" x14ac:dyDescent="0.25">
      <c r="A51" s="10" t="s">
        <v>417</v>
      </c>
      <c r="B51" s="10" t="s">
        <v>418</v>
      </c>
      <c r="C51" s="10" t="s">
        <v>294</v>
      </c>
      <c r="D51" s="10" t="s">
        <v>19</v>
      </c>
      <c r="E51" s="10" t="s">
        <v>419</v>
      </c>
      <c r="F51" s="20" t="s">
        <v>296</v>
      </c>
      <c r="G51" s="10" t="s">
        <v>297</v>
      </c>
      <c r="H51" s="10" t="s">
        <v>298</v>
      </c>
      <c r="I51" s="10" t="s">
        <v>299</v>
      </c>
      <c r="J51" s="11" t="str">
        <f t="shared" si="3"/>
        <v>R0402</v>
      </c>
      <c r="K51" s="11" t="str">
        <f t="shared" si="4"/>
        <v>R-0402-2K49 F</v>
      </c>
      <c r="L51" s="10" t="str">
        <f t="shared" si="5"/>
        <v>R-0402-2K49 F</v>
      </c>
    </row>
    <row r="52" spans="1:12" x14ac:dyDescent="0.25">
      <c r="A52" s="10" t="s">
        <v>535</v>
      </c>
      <c r="B52" s="3" t="s">
        <v>536</v>
      </c>
      <c r="C52" s="10" t="s">
        <v>294</v>
      </c>
      <c r="D52" s="10" t="s">
        <v>19</v>
      </c>
      <c r="E52" s="10" t="s">
        <v>537</v>
      </c>
      <c r="F52" s="20" t="s">
        <v>538</v>
      </c>
      <c r="G52" s="10" t="s">
        <v>297</v>
      </c>
      <c r="H52" s="10" t="s">
        <v>298</v>
      </c>
      <c r="I52" s="10" t="s">
        <v>299</v>
      </c>
      <c r="J52" s="11" t="str">
        <f t="shared" si="3"/>
        <v>R0402</v>
      </c>
      <c r="K52" s="11" t="str">
        <f t="shared" si="4"/>
        <v xml:space="preserve">R-0402-301R </v>
      </c>
      <c r="L52" s="10" t="str">
        <f t="shared" si="5"/>
        <v xml:space="preserve">R-0402-301R </v>
      </c>
    </row>
    <row r="53" spans="1:12" x14ac:dyDescent="0.25">
      <c r="A53" s="10" t="s">
        <v>446</v>
      </c>
      <c r="B53" s="3" t="s">
        <v>447</v>
      </c>
      <c r="C53" s="10" t="s">
        <v>294</v>
      </c>
      <c r="D53" s="10" t="s">
        <v>19</v>
      </c>
      <c r="E53" s="10" t="s">
        <v>448</v>
      </c>
      <c r="F53" s="20" t="s">
        <v>296</v>
      </c>
      <c r="G53" s="10" t="s">
        <v>297</v>
      </c>
      <c r="H53" s="10" t="s">
        <v>298</v>
      </c>
      <c r="I53" s="10" t="s">
        <v>299</v>
      </c>
      <c r="J53" s="11" t="str">
        <f t="shared" si="3"/>
        <v>R0402</v>
      </c>
      <c r="K53" s="11" t="str">
        <f t="shared" si="4"/>
        <v>R-0402-30K1 F</v>
      </c>
      <c r="L53" s="10" t="str">
        <f t="shared" si="5"/>
        <v>R-0402-30K1 F</v>
      </c>
    </row>
    <row r="54" spans="1:12" x14ac:dyDescent="0.25">
      <c r="A54" s="10" t="s">
        <v>349</v>
      </c>
      <c r="B54" s="10" t="s">
        <v>350</v>
      </c>
      <c r="C54" s="10" t="s">
        <v>294</v>
      </c>
      <c r="D54" s="5" t="s">
        <v>19</v>
      </c>
      <c r="E54" s="10" t="s">
        <v>351</v>
      </c>
      <c r="F54" s="20" t="s">
        <v>296</v>
      </c>
      <c r="G54" s="10" t="s">
        <v>297</v>
      </c>
      <c r="H54" s="10" t="s">
        <v>298</v>
      </c>
      <c r="I54" s="10" t="s">
        <v>299</v>
      </c>
      <c r="J54" s="11" t="str">
        <f t="shared" si="3"/>
        <v>R0402</v>
      </c>
      <c r="K54" s="11" t="str">
        <f t="shared" si="4"/>
        <v>R-0402-31K6 F</v>
      </c>
      <c r="L54" s="10" t="str">
        <f t="shared" si="5"/>
        <v>R-0402-31K6 F</v>
      </c>
    </row>
    <row r="55" spans="1:12" x14ac:dyDescent="0.25">
      <c r="A55" s="10" t="s">
        <v>423</v>
      </c>
      <c r="B55" s="3" t="s">
        <v>424</v>
      </c>
      <c r="C55" s="10" t="s">
        <v>294</v>
      </c>
      <c r="D55" s="5" t="s">
        <v>19</v>
      </c>
      <c r="E55" s="10" t="s">
        <v>425</v>
      </c>
      <c r="F55" s="20" t="s">
        <v>296</v>
      </c>
      <c r="G55" s="10" t="s">
        <v>297</v>
      </c>
      <c r="H55" s="10" t="s">
        <v>298</v>
      </c>
      <c r="I55" s="10" t="s">
        <v>299</v>
      </c>
      <c r="J55" s="11" t="str">
        <f t="shared" si="3"/>
        <v>R0402</v>
      </c>
      <c r="K55" s="11" t="str">
        <f t="shared" si="4"/>
        <v>R-0402-330R F</v>
      </c>
      <c r="L55" s="10" t="str">
        <f t="shared" si="5"/>
        <v>R-0402-330R F</v>
      </c>
    </row>
    <row r="56" spans="1:12" x14ac:dyDescent="0.25">
      <c r="A56" s="10" t="s">
        <v>352</v>
      </c>
      <c r="B56" s="3" t="s">
        <v>353</v>
      </c>
      <c r="C56" s="10" t="s">
        <v>294</v>
      </c>
      <c r="D56" s="5" t="s">
        <v>19</v>
      </c>
      <c r="E56" s="10" t="s">
        <v>354</v>
      </c>
      <c r="F56" s="20" t="s">
        <v>296</v>
      </c>
      <c r="G56" s="10" t="s">
        <v>297</v>
      </c>
      <c r="H56" s="10" t="s">
        <v>298</v>
      </c>
      <c r="I56" s="10" t="s">
        <v>299</v>
      </c>
      <c r="J56" s="11" t="str">
        <f t="shared" si="3"/>
        <v>R0402</v>
      </c>
      <c r="K56" s="11" t="str">
        <f t="shared" si="4"/>
        <v>R-0402-33R F</v>
      </c>
      <c r="L56" s="10" t="str">
        <f t="shared" si="5"/>
        <v>R-0402-33R F</v>
      </c>
    </row>
    <row r="57" spans="1:12" x14ac:dyDescent="0.25">
      <c r="A57" s="10" t="s">
        <v>533</v>
      </c>
      <c r="B57" s="3" t="s">
        <v>534</v>
      </c>
      <c r="C57" s="10" t="s">
        <v>294</v>
      </c>
      <c r="D57" s="10" t="s">
        <v>129</v>
      </c>
      <c r="E57" s="10" t="s">
        <v>354</v>
      </c>
      <c r="F57" s="20" t="s">
        <v>296</v>
      </c>
      <c r="G57" s="10" t="s">
        <v>297</v>
      </c>
      <c r="H57" s="10" t="s">
        <v>298</v>
      </c>
      <c r="I57" s="10" t="s">
        <v>299</v>
      </c>
      <c r="J57" s="11" t="str">
        <f t="shared" si="3"/>
        <v>R0201</v>
      </c>
      <c r="K57" s="11" t="str">
        <f t="shared" si="4"/>
        <v>R-0201-33R F</v>
      </c>
      <c r="L57" s="10" t="str">
        <f t="shared" si="5"/>
        <v>R-0201-33R F</v>
      </c>
    </row>
    <row r="58" spans="1:12" x14ac:dyDescent="0.25">
      <c r="A58" s="10" t="s">
        <v>562</v>
      </c>
      <c r="B58" s="3" t="s">
        <v>563</v>
      </c>
      <c r="C58" s="10" t="s">
        <v>294</v>
      </c>
      <c r="D58" s="10" t="s">
        <v>60</v>
      </c>
      <c r="E58" s="10" t="s">
        <v>354</v>
      </c>
      <c r="F58" s="20" t="s">
        <v>296</v>
      </c>
      <c r="G58" s="10" t="s">
        <v>297</v>
      </c>
      <c r="H58" s="10" t="s">
        <v>298</v>
      </c>
      <c r="I58" s="10" t="s">
        <v>299</v>
      </c>
      <c r="J58" s="11" t="str">
        <f t="shared" si="3"/>
        <v>R0805</v>
      </c>
      <c r="K58" s="11" t="str">
        <f t="shared" si="4"/>
        <v>R-0805-33R F</v>
      </c>
      <c r="L58" s="10" t="str">
        <f t="shared" si="5"/>
        <v>R-0805-33R F</v>
      </c>
    </row>
    <row r="59" spans="1:12" x14ac:dyDescent="0.25">
      <c r="A59" s="32" t="s">
        <v>1299</v>
      </c>
      <c r="B59" s="32" t="s">
        <v>1300</v>
      </c>
      <c r="C59" s="10" t="s">
        <v>294</v>
      </c>
      <c r="D59" s="5" t="s">
        <v>19</v>
      </c>
      <c r="E59" s="32" t="s">
        <v>1301</v>
      </c>
      <c r="F59" s="20" t="s">
        <v>296</v>
      </c>
      <c r="G59" s="10" t="s">
        <v>297</v>
      </c>
      <c r="H59" s="10" t="s">
        <v>298</v>
      </c>
      <c r="I59" s="10" t="s">
        <v>299</v>
      </c>
      <c r="J59" s="11" t="str">
        <f t="shared" si="3"/>
        <v>R0402</v>
      </c>
      <c r="K59" s="11" t="str">
        <f t="shared" si="4"/>
        <v>R-0402-35K8 F</v>
      </c>
      <c r="L59" s="10" t="str">
        <f t="shared" si="5"/>
        <v>R-0402-35K8 F</v>
      </c>
    </row>
    <row r="60" spans="1:12" x14ac:dyDescent="0.25">
      <c r="A60" s="10" t="s">
        <v>470</v>
      </c>
      <c r="B60" s="3" t="s">
        <v>471</v>
      </c>
      <c r="C60" s="10" t="s">
        <v>294</v>
      </c>
      <c r="D60" s="5" t="s">
        <v>19</v>
      </c>
      <c r="E60" s="10" t="s">
        <v>472</v>
      </c>
      <c r="F60" s="20" t="s">
        <v>296</v>
      </c>
      <c r="G60" s="10" t="s">
        <v>297</v>
      </c>
      <c r="H60" s="10" t="s">
        <v>298</v>
      </c>
      <c r="I60" s="10" t="s">
        <v>299</v>
      </c>
      <c r="J60" s="11" t="str">
        <f t="shared" si="3"/>
        <v>R0402</v>
      </c>
      <c r="K60" s="11" t="str">
        <f t="shared" si="4"/>
        <v>R-0402-36K F</v>
      </c>
      <c r="L60" s="10" t="str">
        <f t="shared" si="5"/>
        <v>R-0402-36K F</v>
      </c>
    </row>
    <row r="61" spans="1:12" x14ac:dyDescent="0.25">
      <c r="A61" s="10" t="s">
        <v>355</v>
      </c>
      <c r="B61" s="10" t="s">
        <v>356</v>
      </c>
      <c r="C61" s="10" t="s">
        <v>294</v>
      </c>
      <c r="D61" s="5" t="s">
        <v>19</v>
      </c>
      <c r="E61" s="10" t="s">
        <v>357</v>
      </c>
      <c r="F61" s="20" t="s">
        <v>296</v>
      </c>
      <c r="G61" s="10" t="s">
        <v>297</v>
      </c>
      <c r="H61" s="10" t="s">
        <v>298</v>
      </c>
      <c r="I61" s="10" t="s">
        <v>299</v>
      </c>
      <c r="J61" s="11" t="str">
        <f t="shared" si="3"/>
        <v>R0402</v>
      </c>
      <c r="K61" s="11" t="str">
        <f t="shared" si="4"/>
        <v>R-0402-3K F</v>
      </c>
      <c r="L61" s="10" t="str">
        <f t="shared" si="5"/>
        <v>R-0402-3K F</v>
      </c>
    </row>
    <row r="62" spans="1:12" x14ac:dyDescent="0.25">
      <c r="A62" s="10" t="s">
        <v>493</v>
      </c>
      <c r="B62" s="10" t="s">
        <v>494</v>
      </c>
      <c r="C62" s="10" t="s">
        <v>294</v>
      </c>
      <c r="D62" s="5" t="s">
        <v>19</v>
      </c>
      <c r="E62" s="10" t="s">
        <v>495</v>
      </c>
      <c r="F62" s="20" t="s">
        <v>296</v>
      </c>
      <c r="G62" s="10" t="s">
        <v>297</v>
      </c>
      <c r="H62" s="10" t="s">
        <v>298</v>
      </c>
      <c r="I62" s="10" t="s">
        <v>299</v>
      </c>
      <c r="J62" s="11" t="str">
        <f t="shared" si="3"/>
        <v>R0402</v>
      </c>
      <c r="K62" s="11" t="str">
        <f t="shared" si="4"/>
        <v>R-0402-3K01 F</v>
      </c>
      <c r="L62" s="10" t="str">
        <f t="shared" si="5"/>
        <v>R-0402-3K01 F</v>
      </c>
    </row>
    <row r="63" spans="1:12" x14ac:dyDescent="0.25">
      <c r="A63" s="10" t="s">
        <v>527</v>
      </c>
      <c r="B63" s="3" t="s">
        <v>528</v>
      </c>
      <c r="C63" s="10" t="s">
        <v>294</v>
      </c>
      <c r="D63" s="5" t="s">
        <v>129</v>
      </c>
      <c r="E63" s="10" t="s">
        <v>529</v>
      </c>
      <c r="F63" s="20" t="s">
        <v>296</v>
      </c>
      <c r="G63" s="10" t="s">
        <v>297</v>
      </c>
      <c r="H63" s="10" t="s">
        <v>298</v>
      </c>
      <c r="I63" s="10" t="s">
        <v>299</v>
      </c>
      <c r="J63" s="11" t="str">
        <f t="shared" si="3"/>
        <v>R0201</v>
      </c>
      <c r="K63" s="11" t="str">
        <f t="shared" si="4"/>
        <v>R-0201-3K57 F</v>
      </c>
      <c r="L63" s="10" t="str">
        <f t="shared" si="5"/>
        <v>R-0201-3K57 F</v>
      </c>
    </row>
    <row r="64" spans="1:12" x14ac:dyDescent="0.25">
      <c r="A64" s="10" t="s">
        <v>490</v>
      </c>
      <c r="B64" s="3" t="s">
        <v>491</v>
      </c>
      <c r="C64" s="10" t="s">
        <v>294</v>
      </c>
      <c r="D64" s="5" t="s">
        <v>19</v>
      </c>
      <c r="E64" s="10" t="s">
        <v>492</v>
      </c>
      <c r="F64" s="20" t="s">
        <v>296</v>
      </c>
      <c r="G64" s="10" t="s">
        <v>297</v>
      </c>
      <c r="H64" s="10" t="s">
        <v>298</v>
      </c>
      <c r="I64" s="10" t="s">
        <v>299</v>
      </c>
      <c r="J64" s="11" t="str">
        <f t="shared" si="3"/>
        <v>R0402</v>
      </c>
      <c r="K64" s="11" t="str">
        <f t="shared" si="4"/>
        <v>R-0402-3K74 F</v>
      </c>
      <c r="L64" s="10" t="str">
        <f t="shared" si="5"/>
        <v>R-0402-3K74 F</v>
      </c>
    </row>
    <row r="65" spans="1:12" x14ac:dyDescent="0.25">
      <c r="A65" s="10" t="s">
        <v>358</v>
      </c>
      <c r="B65" s="3" t="s">
        <v>359</v>
      </c>
      <c r="C65" s="10" t="s">
        <v>294</v>
      </c>
      <c r="D65" s="5" t="s">
        <v>19</v>
      </c>
      <c r="E65" s="10" t="s">
        <v>360</v>
      </c>
      <c r="F65" s="20" t="s">
        <v>296</v>
      </c>
      <c r="G65" s="10" t="s">
        <v>297</v>
      </c>
      <c r="H65" s="10" t="s">
        <v>298</v>
      </c>
      <c r="I65" s="10" t="s">
        <v>299</v>
      </c>
      <c r="J65" s="11" t="str">
        <f t="shared" si="3"/>
        <v>R0402</v>
      </c>
      <c r="K65" s="11" t="str">
        <f t="shared" si="4"/>
        <v>R-0402-3K9 F</v>
      </c>
      <c r="L65" s="10" t="str">
        <f t="shared" si="5"/>
        <v>R-0402-3K9 F</v>
      </c>
    </row>
    <row r="66" spans="1:12" x14ac:dyDescent="0.25">
      <c r="A66" s="10" t="s">
        <v>564</v>
      </c>
      <c r="B66" s="10" t="s">
        <v>565</v>
      </c>
      <c r="C66" s="10" t="s">
        <v>294</v>
      </c>
      <c r="D66" s="5" t="s">
        <v>19</v>
      </c>
      <c r="E66" s="10" t="s">
        <v>566</v>
      </c>
      <c r="F66" s="20" t="s">
        <v>296</v>
      </c>
      <c r="G66" s="10" t="s">
        <v>297</v>
      </c>
      <c r="H66" s="10" t="s">
        <v>298</v>
      </c>
      <c r="I66" s="10" t="s">
        <v>299</v>
      </c>
      <c r="J66" s="11" t="str">
        <f t="shared" ref="J66:J97" si="6">"R"&amp;D66</f>
        <v>R0402</v>
      </c>
      <c r="K66" s="11" t="str">
        <f t="shared" ref="K66:K97" si="7">"R-"&amp;D66&amp;"-"&amp;E66&amp;" "&amp;IF(F66="±0,03","A",IF(F66="±0,1","B",IF(F66="±0,25","C",IF(F66="±0,5","D",IF(F66="±1%","F",IF(F66="±2%","G",IF(F66="±5%","J",IF(F66="±10%","K",IF(F66="±20%","M","")))))))))</f>
        <v>R-0402-3K92 F</v>
      </c>
      <c r="L66" s="10" t="str">
        <f t="shared" ref="L66:L97" si="8">K66</f>
        <v>R-0402-3K92 F</v>
      </c>
    </row>
    <row r="67" spans="1:12" x14ac:dyDescent="0.25">
      <c r="A67" s="10" t="s">
        <v>361</v>
      </c>
      <c r="B67" s="10" t="s">
        <v>362</v>
      </c>
      <c r="C67" s="10" t="s">
        <v>294</v>
      </c>
      <c r="D67" s="5" t="s">
        <v>19</v>
      </c>
      <c r="E67" s="10" t="s">
        <v>363</v>
      </c>
      <c r="F67" s="20" t="s">
        <v>296</v>
      </c>
      <c r="G67" s="10" t="s">
        <v>297</v>
      </c>
      <c r="H67" s="10" t="s">
        <v>298</v>
      </c>
      <c r="I67" s="10" t="s">
        <v>299</v>
      </c>
      <c r="J67" s="11" t="str">
        <f t="shared" si="6"/>
        <v>R0402</v>
      </c>
      <c r="K67" s="11" t="str">
        <f t="shared" si="7"/>
        <v>R-0402-40K2 F</v>
      </c>
      <c r="L67" s="10" t="str">
        <f t="shared" si="8"/>
        <v>R-0402-40K2 F</v>
      </c>
    </row>
    <row r="68" spans="1:12" x14ac:dyDescent="0.25">
      <c r="A68" s="10" t="s">
        <v>402</v>
      </c>
      <c r="B68" s="10" t="s">
        <v>403</v>
      </c>
      <c r="C68" s="10" t="s">
        <v>294</v>
      </c>
      <c r="D68" s="5" t="s">
        <v>19</v>
      </c>
      <c r="E68" s="10" t="s">
        <v>404</v>
      </c>
      <c r="F68" s="20" t="s">
        <v>296</v>
      </c>
      <c r="G68" s="10" t="s">
        <v>297</v>
      </c>
      <c r="H68" s="10" t="s">
        <v>298</v>
      </c>
      <c r="I68" s="10" t="s">
        <v>299</v>
      </c>
      <c r="J68" s="11" t="str">
        <f t="shared" si="6"/>
        <v>R0402</v>
      </c>
      <c r="K68" s="11" t="str">
        <f t="shared" si="7"/>
        <v>R-0402-412K F</v>
      </c>
      <c r="L68" s="10" t="str">
        <f t="shared" si="8"/>
        <v>R-0402-412K F</v>
      </c>
    </row>
    <row r="69" spans="1:12" x14ac:dyDescent="0.25">
      <c r="A69" s="10" t="s">
        <v>553</v>
      </c>
      <c r="B69" s="10" t="s">
        <v>554</v>
      </c>
      <c r="C69" s="10" t="s">
        <v>294</v>
      </c>
      <c r="D69" s="5" t="s">
        <v>19</v>
      </c>
      <c r="E69" s="10" t="s">
        <v>555</v>
      </c>
      <c r="F69" s="20" t="s">
        <v>296</v>
      </c>
      <c r="G69" s="10" t="s">
        <v>297</v>
      </c>
      <c r="H69" s="10" t="s">
        <v>298</v>
      </c>
      <c r="I69" s="10" t="s">
        <v>299</v>
      </c>
      <c r="J69" s="11" t="str">
        <f t="shared" si="6"/>
        <v>R0402</v>
      </c>
      <c r="K69" s="11" t="str">
        <f t="shared" si="7"/>
        <v>R-0402-45K3 F</v>
      </c>
      <c r="L69" s="10" t="str">
        <f t="shared" si="8"/>
        <v>R-0402-45K3 F</v>
      </c>
    </row>
    <row r="70" spans="1:12" x14ac:dyDescent="0.25">
      <c r="A70" s="10" t="s">
        <v>364</v>
      </c>
      <c r="B70" s="10" t="s">
        <v>365</v>
      </c>
      <c r="C70" s="10" t="s">
        <v>294</v>
      </c>
      <c r="D70" s="5" t="s">
        <v>19</v>
      </c>
      <c r="E70" s="10" t="s">
        <v>366</v>
      </c>
      <c r="F70" s="20" t="s">
        <v>296</v>
      </c>
      <c r="G70" s="10" t="s">
        <v>297</v>
      </c>
      <c r="H70" s="10" t="s">
        <v>298</v>
      </c>
      <c r="I70" s="10" t="s">
        <v>299</v>
      </c>
      <c r="J70" s="11" t="str">
        <f t="shared" si="6"/>
        <v>R0402</v>
      </c>
      <c r="K70" s="11" t="str">
        <f t="shared" si="7"/>
        <v>R-0402-47K5 F</v>
      </c>
      <c r="L70" s="10" t="str">
        <f t="shared" si="8"/>
        <v>R-0402-47K5 F</v>
      </c>
    </row>
    <row r="71" spans="1:12" x14ac:dyDescent="0.25">
      <c r="A71" s="10" t="s">
        <v>550</v>
      </c>
      <c r="B71" s="3" t="s">
        <v>551</v>
      </c>
      <c r="C71" s="10" t="s">
        <v>294</v>
      </c>
      <c r="D71" s="5" t="s">
        <v>19</v>
      </c>
      <c r="E71" s="10" t="s">
        <v>552</v>
      </c>
      <c r="F71" s="20" t="s">
        <v>296</v>
      </c>
      <c r="G71" s="10" t="s">
        <v>297</v>
      </c>
      <c r="H71" s="10" t="s">
        <v>298</v>
      </c>
      <c r="I71" s="10" t="s">
        <v>299</v>
      </c>
      <c r="J71" s="11" t="str">
        <f t="shared" si="6"/>
        <v>R0402</v>
      </c>
      <c r="K71" s="11" t="str">
        <f t="shared" si="7"/>
        <v>R-0402-47R F</v>
      </c>
      <c r="L71" s="10" t="str">
        <f t="shared" si="8"/>
        <v>R-0402-47R F</v>
      </c>
    </row>
    <row r="72" spans="1:12" x14ac:dyDescent="0.25">
      <c r="A72" s="10" t="s">
        <v>367</v>
      </c>
      <c r="B72" s="10" t="s">
        <v>368</v>
      </c>
      <c r="C72" s="10" t="s">
        <v>294</v>
      </c>
      <c r="D72" s="5" t="s">
        <v>19</v>
      </c>
      <c r="E72" s="10" t="s">
        <v>369</v>
      </c>
      <c r="F72" s="20" t="s">
        <v>296</v>
      </c>
      <c r="G72" s="10" t="s">
        <v>297</v>
      </c>
      <c r="H72" s="10" t="s">
        <v>298</v>
      </c>
      <c r="I72" s="10" t="s">
        <v>299</v>
      </c>
      <c r="J72" s="11" t="str">
        <f t="shared" si="6"/>
        <v>R0402</v>
      </c>
      <c r="K72" s="11" t="str">
        <f t="shared" si="7"/>
        <v>R-0402-499K F</v>
      </c>
      <c r="L72" s="10" t="str">
        <f t="shared" si="8"/>
        <v>R-0402-499K F</v>
      </c>
    </row>
    <row r="73" spans="1:12" x14ac:dyDescent="0.25">
      <c r="A73" s="10" t="s">
        <v>452</v>
      </c>
      <c r="B73" s="3" t="s">
        <v>453</v>
      </c>
      <c r="C73" s="10" t="s">
        <v>294</v>
      </c>
      <c r="D73" s="10" t="s">
        <v>19</v>
      </c>
      <c r="E73" s="10" t="s">
        <v>454</v>
      </c>
      <c r="F73" s="20" t="s">
        <v>296</v>
      </c>
      <c r="G73" s="10" t="s">
        <v>297</v>
      </c>
      <c r="H73" s="10" t="s">
        <v>298</v>
      </c>
      <c r="I73" s="10" t="s">
        <v>299</v>
      </c>
      <c r="J73" s="11" t="str">
        <f t="shared" si="6"/>
        <v>R0402</v>
      </c>
      <c r="K73" s="11" t="str">
        <f t="shared" si="7"/>
        <v>R-0402-49K9 F</v>
      </c>
      <c r="L73" s="10" t="str">
        <f t="shared" si="8"/>
        <v>R-0402-49K9 F</v>
      </c>
    </row>
    <row r="74" spans="1:12" x14ac:dyDescent="0.25">
      <c r="A74" s="10" t="s">
        <v>458</v>
      </c>
      <c r="B74" s="3" t="s">
        <v>459</v>
      </c>
      <c r="C74" s="10" t="s">
        <v>294</v>
      </c>
      <c r="D74" s="5" t="s">
        <v>19</v>
      </c>
      <c r="E74" s="10" t="s">
        <v>460</v>
      </c>
      <c r="F74" s="20" t="s">
        <v>296</v>
      </c>
      <c r="G74" s="10" t="s">
        <v>297</v>
      </c>
      <c r="H74" s="10" t="s">
        <v>298</v>
      </c>
      <c r="I74" s="10" t="s">
        <v>299</v>
      </c>
      <c r="J74" s="11" t="str">
        <f t="shared" si="6"/>
        <v>R0402</v>
      </c>
      <c r="K74" s="11" t="str">
        <f t="shared" si="7"/>
        <v>R-0402-49R9 F</v>
      </c>
      <c r="L74" s="10" t="str">
        <f t="shared" si="8"/>
        <v>R-0402-49R9 F</v>
      </c>
    </row>
    <row r="75" spans="1:12" x14ac:dyDescent="0.25">
      <c r="A75" s="10" t="s">
        <v>482</v>
      </c>
      <c r="B75" s="3" t="s">
        <v>483</v>
      </c>
      <c r="C75" s="10" t="s">
        <v>294</v>
      </c>
      <c r="D75" s="10" t="s">
        <v>129</v>
      </c>
      <c r="E75" s="10" t="s">
        <v>460</v>
      </c>
      <c r="F75" s="20" t="s">
        <v>296</v>
      </c>
      <c r="G75" s="10" t="s">
        <v>297</v>
      </c>
      <c r="H75" s="10" t="s">
        <v>298</v>
      </c>
      <c r="I75" s="10" t="s">
        <v>299</v>
      </c>
      <c r="J75" s="11" t="str">
        <f t="shared" si="6"/>
        <v>R0201</v>
      </c>
      <c r="K75" s="11" t="str">
        <f t="shared" si="7"/>
        <v>R-0201-49R9 F</v>
      </c>
      <c r="L75" s="10" t="str">
        <f t="shared" si="8"/>
        <v>R-0201-49R9 F</v>
      </c>
    </row>
    <row r="76" spans="1:12" x14ac:dyDescent="0.25">
      <c r="A76" s="10" t="s">
        <v>542</v>
      </c>
      <c r="B76" s="3" t="s">
        <v>543</v>
      </c>
      <c r="C76" s="10" t="s">
        <v>294</v>
      </c>
      <c r="D76" s="10" t="s">
        <v>19</v>
      </c>
      <c r="E76" s="10" t="s">
        <v>460</v>
      </c>
      <c r="F76" s="20" t="s">
        <v>538</v>
      </c>
      <c r="G76" s="10" t="s">
        <v>297</v>
      </c>
      <c r="H76" s="10" t="s">
        <v>298</v>
      </c>
      <c r="I76" s="10" t="s">
        <v>299</v>
      </c>
      <c r="J76" s="11" t="str">
        <f t="shared" si="6"/>
        <v>R0402</v>
      </c>
      <c r="K76" s="11" t="str">
        <f t="shared" si="7"/>
        <v xml:space="preserve">R-0402-49R9 </v>
      </c>
      <c r="L76" s="10" t="str">
        <f t="shared" si="8"/>
        <v xml:space="preserve">R-0402-49R9 </v>
      </c>
    </row>
    <row r="77" spans="1:12" x14ac:dyDescent="0.25">
      <c r="A77" s="10" t="s">
        <v>1261</v>
      </c>
      <c r="B77" s="34" t="s">
        <v>1262</v>
      </c>
      <c r="C77" s="10" t="s">
        <v>294</v>
      </c>
      <c r="D77" s="10" t="s">
        <v>60</v>
      </c>
      <c r="E77" s="10" t="s">
        <v>460</v>
      </c>
      <c r="F77" s="20" t="s">
        <v>296</v>
      </c>
      <c r="G77" s="10" t="s">
        <v>297</v>
      </c>
      <c r="H77" s="10" t="s">
        <v>298</v>
      </c>
      <c r="I77" s="10" t="s">
        <v>299</v>
      </c>
      <c r="J77" s="11" t="str">
        <f t="shared" si="6"/>
        <v>R0805</v>
      </c>
      <c r="K77" s="11" t="str">
        <f t="shared" si="7"/>
        <v>R-0805-49R9 F</v>
      </c>
      <c r="L77" s="10" t="str">
        <f t="shared" si="8"/>
        <v>R-0805-49R9 F</v>
      </c>
    </row>
    <row r="78" spans="1:12" x14ac:dyDescent="0.25">
      <c r="A78" s="10" t="s">
        <v>556</v>
      </c>
      <c r="B78" s="10" t="s">
        <v>557</v>
      </c>
      <c r="C78" s="10" t="s">
        <v>294</v>
      </c>
      <c r="D78" s="5" t="s">
        <v>19</v>
      </c>
      <c r="E78" s="10" t="s">
        <v>558</v>
      </c>
      <c r="F78" s="20" t="s">
        <v>296</v>
      </c>
      <c r="G78" s="10" t="s">
        <v>297</v>
      </c>
      <c r="H78" s="10" t="s">
        <v>298</v>
      </c>
      <c r="I78" s="10" t="s">
        <v>299</v>
      </c>
      <c r="J78" s="11" t="str">
        <f t="shared" si="6"/>
        <v>R0402</v>
      </c>
      <c r="K78" s="11" t="str">
        <f t="shared" si="7"/>
        <v>R-0402-4K7 F</v>
      </c>
      <c r="L78" s="10" t="str">
        <f t="shared" si="8"/>
        <v>R-0402-4K7 F</v>
      </c>
    </row>
    <row r="79" spans="1:12" x14ac:dyDescent="0.25">
      <c r="A79" s="10" t="s">
        <v>378</v>
      </c>
      <c r="B79" s="3" t="s">
        <v>379</v>
      </c>
      <c r="C79" s="10" t="s">
        <v>294</v>
      </c>
      <c r="D79" s="5" t="s">
        <v>19</v>
      </c>
      <c r="E79" s="10" t="s">
        <v>380</v>
      </c>
      <c r="F79" s="20" t="s">
        <v>296</v>
      </c>
      <c r="G79" s="10" t="s">
        <v>297</v>
      </c>
      <c r="H79" s="10" t="s">
        <v>298</v>
      </c>
      <c r="I79" s="10" t="s">
        <v>299</v>
      </c>
      <c r="J79" s="11" t="str">
        <f t="shared" si="6"/>
        <v>R0402</v>
      </c>
      <c r="K79" s="11" t="str">
        <f t="shared" si="7"/>
        <v>R-0402-4K99 F</v>
      </c>
      <c r="L79" s="10" t="str">
        <f t="shared" si="8"/>
        <v>R-0402-4K99 F</v>
      </c>
    </row>
    <row r="80" spans="1:12" x14ac:dyDescent="0.25">
      <c r="A80" s="10" t="s">
        <v>518</v>
      </c>
      <c r="B80" s="3" t="s">
        <v>519</v>
      </c>
      <c r="C80" s="10" t="s">
        <v>294</v>
      </c>
      <c r="D80" s="5" t="s">
        <v>129</v>
      </c>
      <c r="E80" s="10" t="s">
        <v>380</v>
      </c>
      <c r="F80" s="20" t="s">
        <v>296</v>
      </c>
      <c r="G80" s="10" t="s">
        <v>297</v>
      </c>
      <c r="H80" s="10" t="s">
        <v>298</v>
      </c>
      <c r="I80" s="10" t="s">
        <v>299</v>
      </c>
      <c r="J80" s="11" t="str">
        <f t="shared" si="6"/>
        <v>R0201</v>
      </c>
      <c r="K80" s="11" t="str">
        <f t="shared" si="7"/>
        <v>R-0201-4K99 F</v>
      </c>
      <c r="L80" s="10" t="str">
        <f t="shared" si="8"/>
        <v>R-0201-4K99 F</v>
      </c>
    </row>
    <row r="81" spans="1:12" x14ac:dyDescent="0.25">
      <c r="A81" s="10" t="s">
        <v>518</v>
      </c>
      <c r="B81" s="3" t="s">
        <v>519</v>
      </c>
      <c r="C81" s="10" t="s">
        <v>294</v>
      </c>
      <c r="D81" s="42" t="s">
        <v>129</v>
      </c>
      <c r="E81" s="10" t="s">
        <v>380</v>
      </c>
      <c r="F81" s="20" t="s">
        <v>296</v>
      </c>
      <c r="G81" s="10" t="s">
        <v>297</v>
      </c>
      <c r="H81" s="10" t="s">
        <v>298</v>
      </c>
      <c r="I81" s="10" t="s">
        <v>299</v>
      </c>
      <c r="J81" s="11" t="str">
        <f t="shared" si="6"/>
        <v>R0201</v>
      </c>
      <c r="K81" s="11" t="str">
        <f t="shared" si="7"/>
        <v>R-0201-4K99 F</v>
      </c>
      <c r="L81" s="10" t="str">
        <f t="shared" si="8"/>
        <v>R-0201-4K99 F</v>
      </c>
    </row>
    <row r="82" spans="1:12" x14ac:dyDescent="0.25">
      <c r="A82" s="10" t="s">
        <v>370</v>
      </c>
      <c r="B82" s="3" t="s">
        <v>371</v>
      </c>
      <c r="C82" s="10" t="s">
        <v>294</v>
      </c>
      <c r="D82" s="5" t="s">
        <v>19</v>
      </c>
      <c r="E82" s="10" t="s">
        <v>372</v>
      </c>
      <c r="F82" s="20" t="s">
        <v>296</v>
      </c>
      <c r="G82" s="10" t="s">
        <v>297</v>
      </c>
      <c r="H82" s="10" t="s">
        <v>298</v>
      </c>
      <c r="I82" s="10" t="s">
        <v>299</v>
      </c>
      <c r="J82" s="11" t="str">
        <f t="shared" si="6"/>
        <v>R0402</v>
      </c>
      <c r="K82" s="11" t="str">
        <f t="shared" si="7"/>
        <v>R-0402-50R F</v>
      </c>
      <c r="L82" s="10" t="str">
        <f t="shared" si="8"/>
        <v>R-0402-50R F</v>
      </c>
    </row>
    <row r="83" spans="1:12" x14ac:dyDescent="0.25">
      <c r="A83" s="10" t="s">
        <v>429</v>
      </c>
      <c r="B83" s="10" t="s">
        <v>430</v>
      </c>
      <c r="C83" s="10" t="s">
        <v>294</v>
      </c>
      <c r="D83" s="5" t="s">
        <v>19</v>
      </c>
      <c r="E83" s="10" t="s">
        <v>431</v>
      </c>
      <c r="F83" s="20" t="s">
        <v>296</v>
      </c>
      <c r="G83" s="10" t="s">
        <v>297</v>
      </c>
      <c r="H83" s="10" t="s">
        <v>298</v>
      </c>
      <c r="I83" s="10" t="s">
        <v>299</v>
      </c>
      <c r="J83" s="11" t="str">
        <f t="shared" si="6"/>
        <v>R0402</v>
      </c>
      <c r="K83" s="11" t="str">
        <f t="shared" si="7"/>
        <v>R-0402-52K3 F</v>
      </c>
      <c r="L83" s="10" t="str">
        <f t="shared" si="8"/>
        <v>R-0402-52K3 F</v>
      </c>
    </row>
    <row r="84" spans="1:12" x14ac:dyDescent="0.25">
      <c r="A84" s="10" t="s">
        <v>373</v>
      </c>
      <c r="B84" s="3" t="s">
        <v>306</v>
      </c>
      <c r="C84" s="10" t="s">
        <v>294</v>
      </c>
      <c r="D84" s="5" t="s">
        <v>19</v>
      </c>
      <c r="E84" s="10" t="s">
        <v>374</v>
      </c>
      <c r="F84" s="20" t="s">
        <v>296</v>
      </c>
      <c r="G84" s="10" t="s">
        <v>297</v>
      </c>
      <c r="H84" s="10" t="s">
        <v>298</v>
      </c>
      <c r="I84" s="10" t="s">
        <v>299</v>
      </c>
      <c r="J84" s="11" t="str">
        <f t="shared" si="6"/>
        <v>R0402</v>
      </c>
      <c r="K84" s="11" t="str">
        <f t="shared" si="7"/>
        <v>R-0402-560R F</v>
      </c>
      <c r="L84" s="10" t="str">
        <f t="shared" si="8"/>
        <v>R-0402-560R F</v>
      </c>
    </row>
    <row r="85" spans="1:12" x14ac:dyDescent="0.25">
      <c r="A85" s="10" t="s">
        <v>375</v>
      </c>
      <c r="B85" s="3" t="s">
        <v>376</v>
      </c>
      <c r="C85" s="10" t="s">
        <v>294</v>
      </c>
      <c r="D85" s="5" t="s">
        <v>19</v>
      </c>
      <c r="E85" s="5" t="s">
        <v>377</v>
      </c>
      <c r="F85" s="20" t="s">
        <v>296</v>
      </c>
      <c r="G85" s="10" t="s">
        <v>297</v>
      </c>
      <c r="H85" s="10" t="s">
        <v>298</v>
      </c>
      <c r="I85" s="10" t="s">
        <v>299</v>
      </c>
      <c r="J85" s="11" t="str">
        <f t="shared" si="6"/>
        <v>R0402</v>
      </c>
      <c r="K85" s="11" t="str">
        <f t="shared" si="7"/>
        <v>R-0402-56K F</v>
      </c>
      <c r="L85" s="10" t="str">
        <f t="shared" si="8"/>
        <v>R-0402-56K F</v>
      </c>
    </row>
    <row r="86" spans="1:12" x14ac:dyDescent="0.25">
      <c r="A86" s="10" t="s">
        <v>479</v>
      </c>
      <c r="B86" s="3" t="s">
        <v>480</v>
      </c>
      <c r="C86" s="10" t="s">
        <v>294</v>
      </c>
      <c r="D86" s="10" t="s">
        <v>129</v>
      </c>
      <c r="E86" s="10" t="s">
        <v>481</v>
      </c>
      <c r="F86" s="20" t="s">
        <v>296</v>
      </c>
      <c r="G86" s="10" t="s">
        <v>297</v>
      </c>
      <c r="H86" s="10" t="s">
        <v>298</v>
      </c>
      <c r="I86" s="10" t="s">
        <v>299</v>
      </c>
      <c r="J86" s="11" t="str">
        <f t="shared" si="6"/>
        <v>R0201</v>
      </c>
      <c r="K86" s="11" t="str">
        <f t="shared" si="7"/>
        <v>R-0201-56R F</v>
      </c>
      <c r="L86" s="10" t="str">
        <f t="shared" si="8"/>
        <v>R-0201-56R F</v>
      </c>
    </row>
    <row r="87" spans="1:12" x14ac:dyDescent="0.25">
      <c r="A87" s="10" t="s">
        <v>570</v>
      </c>
      <c r="B87" s="10" t="s">
        <v>571</v>
      </c>
      <c r="C87" s="10" t="s">
        <v>294</v>
      </c>
      <c r="D87" s="5" t="s">
        <v>19</v>
      </c>
      <c r="E87" s="10" t="s">
        <v>572</v>
      </c>
      <c r="F87" s="20" t="s">
        <v>296</v>
      </c>
      <c r="G87" s="10" t="s">
        <v>297</v>
      </c>
      <c r="H87" s="10" t="s">
        <v>298</v>
      </c>
      <c r="I87" s="10" t="s">
        <v>299</v>
      </c>
      <c r="J87" s="11" t="str">
        <f t="shared" si="6"/>
        <v>R0402</v>
      </c>
      <c r="K87" s="11" t="str">
        <f t="shared" si="7"/>
        <v>R-0402-5K11 F</v>
      </c>
      <c r="L87" s="10" t="str">
        <f t="shared" si="8"/>
        <v>R-0402-5K11 F</v>
      </c>
    </row>
    <row r="88" spans="1:12" x14ac:dyDescent="0.25">
      <c r="A88" s="10" t="s">
        <v>420</v>
      </c>
      <c r="B88" s="10" t="s">
        <v>421</v>
      </c>
      <c r="C88" s="10" t="s">
        <v>294</v>
      </c>
      <c r="D88" s="10" t="s">
        <v>19</v>
      </c>
      <c r="E88" s="10" t="s">
        <v>422</v>
      </c>
      <c r="F88" s="20" t="s">
        <v>296</v>
      </c>
      <c r="G88" s="10" t="s">
        <v>297</v>
      </c>
      <c r="H88" s="10" t="s">
        <v>298</v>
      </c>
      <c r="I88" s="10" t="s">
        <v>299</v>
      </c>
      <c r="J88" s="11" t="str">
        <f t="shared" si="6"/>
        <v>R0402</v>
      </c>
      <c r="K88" s="11" t="str">
        <f t="shared" si="7"/>
        <v>R-0402-5K76 F</v>
      </c>
      <c r="L88" s="10" t="str">
        <f t="shared" si="8"/>
        <v>R-0402-5K76 F</v>
      </c>
    </row>
    <row r="89" spans="1:12" x14ac:dyDescent="0.25">
      <c r="A89" s="10" t="s">
        <v>513</v>
      </c>
      <c r="B89" s="10" t="s">
        <v>514</v>
      </c>
      <c r="C89" s="10" t="s">
        <v>294</v>
      </c>
      <c r="D89" s="5" t="s">
        <v>19</v>
      </c>
      <c r="E89" s="10" t="s">
        <v>515</v>
      </c>
      <c r="F89" s="20" t="s">
        <v>296</v>
      </c>
      <c r="G89" s="10" t="s">
        <v>297</v>
      </c>
      <c r="H89" s="10" t="s">
        <v>298</v>
      </c>
      <c r="I89" s="10" t="s">
        <v>299</v>
      </c>
      <c r="J89" s="11" t="str">
        <f t="shared" si="6"/>
        <v>R0402</v>
      </c>
      <c r="K89" s="11" t="str">
        <f t="shared" si="7"/>
        <v>R-0402-60K4 F</v>
      </c>
      <c r="L89" s="10" t="str">
        <f t="shared" si="8"/>
        <v>R-0402-60K4 F</v>
      </c>
    </row>
    <row r="90" spans="1:12" x14ac:dyDescent="0.25">
      <c r="A90" s="10" t="s">
        <v>390</v>
      </c>
      <c r="B90" s="10" t="s">
        <v>391</v>
      </c>
      <c r="C90" s="10" t="s">
        <v>294</v>
      </c>
      <c r="D90" s="5" t="s">
        <v>19</v>
      </c>
      <c r="E90" s="10" t="s">
        <v>392</v>
      </c>
      <c r="F90" s="20" t="s">
        <v>296</v>
      </c>
      <c r="G90" s="10" t="s">
        <v>297</v>
      </c>
      <c r="H90" s="10" t="s">
        <v>298</v>
      </c>
      <c r="I90" s="10" t="s">
        <v>299</v>
      </c>
      <c r="J90" s="11" t="str">
        <f t="shared" si="6"/>
        <v>R0402</v>
      </c>
      <c r="K90" s="11" t="str">
        <f t="shared" si="7"/>
        <v>R-0402-66K5 F</v>
      </c>
      <c r="L90" s="10" t="str">
        <f t="shared" si="8"/>
        <v>R-0402-66K5 F</v>
      </c>
    </row>
    <row r="91" spans="1:12" x14ac:dyDescent="0.25">
      <c r="A91" s="10" t="s">
        <v>381</v>
      </c>
      <c r="B91" s="3" t="s">
        <v>382</v>
      </c>
      <c r="C91" s="10" t="s">
        <v>294</v>
      </c>
      <c r="D91" s="5" t="s">
        <v>19</v>
      </c>
      <c r="E91" s="10" t="s">
        <v>383</v>
      </c>
      <c r="F91" s="20" t="s">
        <v>296</v>
      </c>
      <c r="G91" s="10" t="s">
        <v>297</v>
      </c>
      <c r="H91" s="10" t="s">
        <v>298</v>
      </c>
      <c r="I91" s="10" t="s">
        <v>299</v>
      </c>
      <c r="J91" s="11" t="str">
        <f t="shared" si="6"/>
        <v>R0402</v>
      </c>
      <c r="K91" s="11" t="str">
        <f t="shared" si="7"/>
        <v>R-0402-68R1 F</v>
      </c>
      <c r="L91" s="10" t="str">
        <f t="shared" si="8"/>
        <v>R-0402-68R1 F</v>
      </c>
    </row>
    <row r="92" spans="1:12" x14ac:dyDescent="0.25">
      <c r="A92" s="32" t="s">
        <v>1312</v>
      </c>
      <c r="B92" s="32" t="s">
        <v>1313</v>
      </c>
      <c r="C92" s="10" t="s">
        <v>294</v>
      </c>
      <c r="D92" s="5" t="s">
        <v>19</v>
      </c>
      <c r="E92" s="10" t="s">
        <v>1314</v>
      </c>
      <c r="F92" s="20" t="s">
        <v>296</v>
      </c>
      <c r="G92" s="10" t="s">
        <v>297</v>
      </c>
      <c r="H92" s="10" t="s">
        <v>298</v>
      </c>
      <c r="I92" s="10" t="s">
        <v>299</v>
      </c>
      <c r="J92" s="11" t="str">
        <f t="shared" si="6"/>
        <v>R0402</v>
      </c>
      <c r="K92" s="11" t="str">
        <f t="shared" si="7"/>
        <v>R-0402-69K1 F</v>
      </c>
      <c r="L92" s="10" t="str">
        <f t="shared" si="8"/>
        <v>R-0402-69K1 F</v>
      </c>
    </row>
    <row r="93" spans="1:12" x14ac:dyDescent="0.25">
      <c r="A93" s="10" t="s">
        <v>464</v>
      </c>
      <c r="B93" s="3" t="s">
        <v>465</v>
      </c>
      <c r="C93" s="10" t="s">
        <v>294</v>
      </c>
      <c r="D93" s="5" t="s">
        <v>19</v>
      </c>
      <c r="E93" s="10" t="s">
        <v>466</v>
      </c>
      <c r="F93" s="20" t="s">
        <v>296</v>
      </c>
      <c r="G93" s="10" t="s">
        <v>297</v>
      </c>
      <c r="H93" s="10" t="s">
        <v>298</v>
      </c>
      <c r="I93" s="10" t="s">
        <v>299</v>
      </c>
      <c r="J93" s="11" t="str">
        <f t="shared" si="6"/>
        <v>R0402</v>
      </c>
      <c r="K93" s="11" t="str">
        <f t="shared" si="7"/>
        <v>R-0402-69R8 F</v>
      </c>
      <c r="L93" s="10" t="str">
        <f t="shared" si="8"/>
        <v>R-0402-69R8 F</v>
      </c>
    </row>
    <row r="94" spans="1:12" x14ac:dyDescent="0.25">
      <c r="A94" s="10" t="s">
        <v>384</v>
      </c>
      <c r="B94" s="10" t="s">
        <v>385</v>
      </c>
      <c r="C94" s="10" t="s">
        <v>294</v>
      </c>
      <c r="D94" s="5" t="s">
        <v>19</v>
      </c>
      <c r="E94" s="10" t="s">
        <v>386</v>
      </c>
      <c r="F94" s="20" t="s">
        <v>296</v>
      </c>
      <c r="G94" s="10" t="s">
        <v>297</v>
      </c>
      <c r="H94" s="10" t="s">
        <v>298</v>
      </c>
      <c r="I94" s="10" t="s">
        <v>299</v>
      </c>
      <c r="J94" s="11" t="str">
        <f t="shared" si="6"/>
        <v>R0402</v>
      </c>
      <c r="K94" s="11" t="str">
        <f t="shared" si="7"/>
        <v>R-0402-6K81 F</v>
      </c>
      <c r="L94" s="10" t="str">
        <f t="shared" si="8"/>
        <v>R-0402-6K81 F</v>
      </c>
    </row>
    <row r="95" spans="1:12" x14ac:dyDescent="0.25">
      <c r="A95" s="10" t="s">
        <v>432</v>
      </c>
      <c r="B95" s="10" t="s">
        <v>433</v>
      </c>
      <c r="C95" s="10" t="s">
        <v>294</v>
      </c>
      <c r="D95" s="5" t="s">
        <v>19</v>
      </c>
      <c r="E95" s="10" t="s">
        <v>434</v>
      </c>
      <c r="F95" s="20" t="s">
        <v>296</v>
      </c>
      <c r="G95" s="10" t="s">
        <v>297</v>
      </c>
      <c r="H95" s="10" t="s">
        <v>298</v>
      </c>
      <c r="I95" s="10" t="s">
        <v>299</v>
      </c>
      <c r="J95" s="11" t="str">
        <f t="shared" si="6"/>
        <v>R0402</v>
      </c>
      <c r="K95" s="11" t="str">
        <f t="shared" si="7"/>
        <v>R-0402-75K F</v>
      </c>
      <c r="L95" s="10" t="str">
        <f t="shared" si="8"/>
        <v>R-0402-75K F</v>
      </c>
    </row>
    <row r="96" spans="1:12" x14ac:dyDescent="0.25">
      <c r="A96" s="10" t="s">
        <v>507</v>
      </c>
      <c r="B96" s="10" t="s">
        <v>508</v>
      </c>
      <c r="C96" s="10" t="s">
        <v>294</v>
      </c>
      <c r="D96" s="5" t="s">
        <v>19</v>
      </c>
      <c r="E96" s="10" t="s">
        <v>509</v>
      </c>
      <c r="F96" s="20" t="s">
        <v>296</v>
      </c>
      <c r="G96" s="10" t="s">
        <v>297</v>
      </c>
      <c r="H96" s="10" t="s">
        <v>298</v>
      </c>
      <c r="I96" s="10" t="s">
        <v>299</v>
      </c>
      <c r="J96" s="11" t="str">
        <f t="shared" si="6"/>
        <v>R0402</v>
      </c>
      <c r="K96" s="11" t="str">
        <f t="shared" si="7"/>
        <v>R-0402-7K5 F</v>
      </c>
      <c r="L96" s="10" t="str">
        <f t="shared" si="8"/>
        <v>R-0402-7K5 F</v>
      </c>
    </row>
    <row r="97" spans="1:12" x14ac:dyDescent="0.25">
      <c r="A97" s="10" t="s">
        <v>405</v>
      </c>
      <c r="B97" s="10" t="s">
        <v>406</v>
      </c>
      <c r="C97" s="10" t="s">
        <v>294</v>
      </c>
      <c r="D97" s="5" t="s">
        <v>19</v>
      </c>
      <c r="E97" s="10" t="s">
        <v>407</v>
      </c>
      <c r="F97" s="20" t="s">
        <v>296</v>
      </c>
      <c r="G97" s="10" t="s">
        <v>297</v>
      </c>
      <c r="H97" s="10" t="s">
        <v>298</v>
      </c>
      <c r="I97" s="10" t="s">
        <v>299</v>
      </c>
      <c r="J97" s="11" t="str">
        <f t="shared" si="6"/>
        <v>R0402</v>
      </c>
      <c r="K97" s="11" t="str">
        <f t="shared" si="7"/>
        <v>R-0402-866K F</v>
      </c>
      <c r="L97" s="10" t="str">
        <f t="shared" si="8"/>
        <v>R-0402-866K F</v>
      </c>
    </row>
    <row r="98" spans="1:12" x14ac:dyDescent="0.25">
      <c r="A98" s="10" t="s">
        <v>510</v>
      </c>
      <c r="B98" s="10" t="s">
        <v>511</v>
      </c>
      <c r="C98" s="10" t="s">
        <v>294</v>
      </c>
      <c r="D98" s="5" t="s">
        <v>19</v>
      </c>
      <c r="E98" s="10" t="s">
        <v>512</v>
      </c>
      <c r="F98" s="20" t="s">
        <v>296</v>
      </c>
      <c r="G98" s="10" t="s">
        <v>297</v>
      </c>
      <c r="H98" s="10" t="s">
        <v>298</v>
      </c>
      <c r="I98" s="10" t="s">
        <v>299</v>
      </c>
      <c r="J98" s="11" t="str">
        <f t="shared" ref="J98:J107" si="9">"R"&amp;D98</f>
        <v>R0402</v>
      </c>
      <c r="K98" s="11" t="str">
        <f t="shared" ref="K98:K108" si="10">"R-"&amp;D98&amp;"-"&amp;E98&amp;" "&amp;IF(F98="±0,03","A",IF(F98="±0,1","B",IF(F98="±0,25","C",IF(F98="±0,5","D",IF(F98="±1%","F",IF(F98="±2%","G",IF(F98="±5%","J",IF(F98="±10%","K",IF(F98="±20%","M","")))))))))</f>
        <v>R-0402-8K25 F</v>
      </c>
      <c r="L98" s="10" t="str">
        <f t="shared" ref="L98:L108" si="11">K98</f>
        <v>R-0402-8K25 F</v>
      </c>
    </row>
    <row r="99" spans="1:12" x14ac:dyDescent="0.25">
      <c r="A99" s="10" t="s">
        <v>573</v>
      </c>
      <c r="B99" s="10" t="s">
        <v>574</v>
      </c>
      <c r="C99" s="10" t="s">
        <v>294</v>
      </c>
      <c r="D99" s="5" t="s">
        <v>19</v>
      </c>
      <c r="E99" s="10" t="s">
        <v>575</v>
      </c>
      <c r="F99" s="20" t="s">
        <v>296</v>
      </c>
      <c r="G99" s="10" t="s">
        <v>297</v>
      </c>
      <c r="H99" s="10" t="s">
        <v>298</v>
      </c>
      <c r="I99" s="10" t="s">
        <v>299</v>
      </c>
      <c r="J99" s="11" t="str">
        <f t="shared" si="9"/>
        <v>R0402</v>
      </c>
      <c r="K99" s="11" t="str">
        <f t="shared" si="10"/>
        <v>R-0402-8K45 F</v>
      </c>
      <c r="L99" s="10" t="str">
        <f t="shared" si="11"/>
        <v>R-0402-8K45 F</v>
      </c>
    </row>
    <row r="100" spans="1:12" x14ac:dyDescent="0.25">
      <c r="A100" s="10" t="s">
        <v>387</v>
      </c>
      <c r="B100" s="10" t="s">
        <v>388</v>
      </c>
      <c r="C100" s="10" t="s">
        <v>294</v>
      </c>
      <c r="D100" s="10" t="s">
        <v>19</v>
      </c>
      <c r="E100" s="10" t="s">
        <v>389</v>
      </c>
      <c r="F100" s="20" t="s">
        <v>296</v>
      </c>
      <c r="G100" s="10" t="s">
        <v>297</v>
      </c>
      <c r="H100" s="10" t="s">
        <v>298</v>
      </c>
      <c r="I100" s="10" t="s">
        <v>299</v>
      </c>
      <c r="J100" s="11" t="str">
        <f t="shared" si="9"/>
        <v>R0402</v>
      </c>
      <c r="K100" s="11" t="str">
        <f t="shared" si="10"/>
        <v>R-0402-8K66 F</v>
      </c>
      <c r="L100" s="10" t="str">
        <f t="shared" si="11"/>
        <v>R-0402-8K66 F</v>
      </c>
    </row>
    <row r="101" spans="1:12" x14ac:dyDescent="0.25">
      <c r="A101" s="10" t="s">
        <v>559</v>
      </c>
      <c r="B101" s="3" t="s">
        <v>560</v>
      </c>
      <c r="C101" s="10" t="s">
        <v>294</v>
      </c>
      <c r="D101" s="10" t="s">
        <v>19</v>
      </c>
      <c r="E101" s="10" t="s">
        <v>561</v>
      </c>
      <c r="F101" s="20" t="s">
        <v>538</v>
      </c>
      <c r="G101" s="10" t="s">
        <v>297</v>
      </c>
      <c r="H101" s="10" t="s">
        <v>298</v>
      </c>
      <c r="I101" s="10" t="s">
        <v>299</v>
      </c>
      <c r="J101" s="11" t="str">
        <f t="shared" si="9"/>
        <v>R0402</v>
      </c>
      <c r="K101" s="11" t="str">
        <f t="shared" si="10"/>
        <v xml:space="preserve">R-0402-90K9 </v>
      </c>
      <c r="L101" s="10" t="str">
        <f t="shared" si="11"/>
        <v xml:space="preserve">R-0402-90K9 </v>
      </c>
    </row>
    <row r="102" spans="1:12" x14ac:dyDescent="0.25">
      <c r="A102" s="10" t="s">
        <v>440</v>
      </c>
      <c r="B102" s="3" t="s">
        <v>441</v>
      </c>
      <c r="C102" s="10" t="s">
        <v>294</v>
      </c>
      <c r="D102" s="10" t="s">
        <v>19</v>
      </c>
      <c r="E102" s="10" t="s">
        <v>442</v>
      </c>
      <c r="F102" s="20" t="s">
        <v>296</v>
      </c>
      <c r="G102" s="10" t="s">
        <v>297</v>
      </c>
      <c r="H102" s="10" t="s">
        <v>298</v>
      </c>
      <c r="I102" s="10" t="s">
        <v>299</v>
      </c>
      <c r="J102" s="11" t="str">
        <f t="shared" si="9"/>
        <v>R0402</v>
      </c>
      <c r="K102" s="11" t="str">
        <f t="shared" si="10"/>
        <v>R-0402-93K1 F</v>
      </c>
      <c r="L102" s="10" t="str">
        <f t="shared" si="11"/>
        <v>R-0402-93K1 F</v>
      </c>
    </row>
    <row r="103" spans="1:12" x14ac:dyDescent="0.25">
      <c r="A103" s="10" t="s">
        <v>567</v>
      </c>
      <c r="B103" s="10" t="s">
        <v>568</v>
      </c>
      <c r="C103" s="10" t="s">
        <v>294</v>
      </c>
      <c r="D103" s="5" t="s">
        <v>19</v>
      </c>
      <c r="E103" s="10" t="s">
        <v>569</v>
      </c>
      <c r="F103" s="20" t="s">
        <v>296</v>
      </c>
      <c r="G103" s="10" t="s">
        <v>297</v>
      </c>
      <c r="H103" s="10" t="s">
        <v>298</v>
      </c>
      <c r="I103" s="10" t="s">
        <v>299</v>
      </c>
      <c r="J103" s="11" t="str">
        <f t="shared" si="9"/>
        <v>R0402</v>
      </c>
      <c r="K103" s="11" t="str">
        <f t="shared" si="10"/>
        <v>R-0402-9K53 F</v>
      </c>
      <c r="L103" s="10" t="str">
        <f t="shared" si="11"/>
        <v>R-0402-9K53 F</v>
      </c>
    </row>
    <row r="104" spans="1:12" x14ac:dyDescent="0.25">
      <c r="A104" s="10" t="s">
        <v>1321</v>
      </c>
      <c r="B104" s="10" t="s">
        <v>1322</v>
      </c>
      <c r="C104" s="10" t="s">
        <v>294</v>
      </c>
      <c r="D104" s="42" t="s">
        <v>129</v>
      </c>
      <c r="E104" s="10" t="s">
        <v>501</v>
      </c>
      <c r="F104" s="20" t="s">
        <v>296</v>
      </c>
      <c r="G104" s="10" t="s">
        <v>297</v>
      </c>
      <c r="H104" s="10" t="s">
        <v>298</v>
      </c>
      <c r="I104" s="10" t="s">
        <v>299</v>
      </c>
      <c r="J104" s="11" t="str">
        <f t="shared" si="9"/>
        <v>R0201</v>
      </c>
      <c r="K104" s="11" t="str">
        <f t="shared" si="10"/>
        <v>R-0201-2K2 F</v>
      </c>
      <c r="L104" s="10" t="str">
        <f t="shared" si="11"/>
        <v>R-0201-2K2 F</v>
      </c>
    </row>
    <row r="105" spans="1:12" x14ac:dyDescent="0.25">
      <c r="A105" s="32" t="s">
        <v>1333</v>
      </c>
      <c r="B105" s="32" t="s">
        <v>1334</v>
      </c>
      <c r="C105" s="10" t="s">
        <v>294</v>
      </c>
      <c r="D105" s="42" t="s">
        <v>129</v>
      </c>
      <c r="E105" s="32" t="s">
        <v>1335</v>
      </c>
      <c r="F105" s="20" t="s">
        <v>296</v>
      </c>
      <c r="G105" s="10" t="s">
        <v>297</v>
      </c>
      <c r="H105" s="10" t="s">
        <v>298</v>
      </c>
      <c r="I105" s="10" t="s">
        <v>299</v>
      </c>
      <c r="J105" s="11" t="str">
        <f t="shared" si="9"/>
        <v>R0201</v>
      </c>
      <c r="K105" s="11" t="str">
        <f t="shared" si="10"/>
        <v>R-0201-26K4 F</v>
      </c>
      <c r="L105" s="10" t="str">
        <f t="shared" si="11"/>
        <v>R-0201-26K4 F</v>
      </c>
    </row>
    <row r="106" spans="1:12" x14ac:dyDescent="0.25">
      <c r="A106" s="32" t="s">
        <v>1336</v>
      </c>
      <c r="B106" s="32" t="s">
        <v>1337</v>
      </c>
      <c r="C106" s="10" t="s">
        <v>294</v>
      </c>
      <c r="D106" s="42" t="s">
        <v>129</v>
      </c>
      <c r="E106" s="32" t="s">
        <v>1338</v>
      </c>
      <c r="F106" s="20" t="s">
        <v>296</v>
      </c>
      <c r="G106" s="10" t="s">
        <v>297</v>
      </c>
      <c r="H106" s="10" t="s">
        <v>298</v>
      </c>
      <c r="I106" s="10" t="s">
        <v>299</v>
      </c>
      <c r="J106" s="11" t="str">
        <f t="shared" si="9"/>
        <v>R0201</v>
      </c>
      <c r="K106" s="11" t="str">
        <f t="shared" si="10"/>
        <v>R-0201-16K F</v>
      </c>
      <c r="L106" s="10" t="str">
        <f t="shared" si="11"/>
        <v>R-0201-16K F</v>
      </c>
    </row>
    <row r="107" spans="1:12" x14ac:dyDescent="0.25">
      <c r="A107" s="32" t="s">
        <v>1339</v>
      </c>
      <c r="B107" s="32" t="s">
        <v>1340</v>
      </c>
      <c r="C107" s="10" t="s">
        <v>294</v>
      </c>
      <c r="D107" s="42" t="s">
        <v>129</v>
      </c>
      <c r="E107" s="32" t="s">
        <v>1341</v>
      </c>
      <c r="F107" s="20" t="s">
        <v>296</v>
      </c>
      <c r="G107" s="10" t="s">
        <v>297</v>
      </c>
      <c r="H107" s="10" t="s">
        <v>298</v>
      </c>
      <c r="I107" s="10" t="s">
        <v>299</v>
      </c>
      <c r="J107" s="11" t="str">
        <f t="shared" si="9"/>
        <v>R0201</v>
      </c>
      <c r="K107" s="11" t="str">
        <f t="shared" si="10"/>
        <v>R-0201-13K F</v>
      </c>
      <c r="L107" s="10" t="str">
        <f t="shared" si="11"/>
        <v>R-0201-13K F</v>
      </c>
    </row>
    <row r="108" spans="1:12" s="10" customFormat="1" x14ac:dyDescent="0.25">
      <c r="A108" s="10" t="s">
        <v>1348</v>
      </c>
      <c r="B108" s="10" t="s">
        <v>1349</v>
      </c>
      <c r="C108" s="10" t="s">
        <v>1350</v>
      </c>
      <c r="D108" s="32" t="s">
        <v>90</v>
      </c>
      <c r="E108" s="32" t="s">
        <v>1351</v>
      </c>
      <c r="F108" s="20" t="s">
        <v>296</v>
      </c>
      <c r="G108" s="10" t="s">
        <v>297</v>
      </c>
      <c r="H108" s="10" t="s">
        <v>298</v>
      </c>
      <c r="I108" s="10" t="s">
        <v>299</v>
      </c>
      <c r="J108" s="11" t="s">
        <v>1362</v>
      </c>
      <c r="K108" s="11" t="str">
        <f t="shared" si="10"/>
        <v>R-0603-0R025 F</v>
      </c>
      <c r="L108" s="10" t="str">
        <f t="shared" si="11"/>
        <v>R-0603-0R025 F</v>
      </c>
    </row>
    <row r="109" spans="1:12" x14ac:dyDescent="0.25">
      <c r="A109" s="10" t="s">
        <v>1537</v>
      </c>
      <c r="B109" s="3" t="s">
        <v>1538</v>
      </c>
      <c r="C109" s="10" t="s">
        <v>294</v>
      </c>
      <c r="D109" s="5" t="s">
        <v>19</v>
      </c>
      <c r="E109" s="10" t="s">
        <v>1539</v>
      </c>
      <c r="F109" s="20" t="s">
        <v>296</v>
      </c>
      <c r="G109" s="10" t="s">
        <v>297</v>
      </c>
      <c r="H109" s="10" t="s">
        <v>298</v>
      </c>
      <c r="I109" s="10" t="s">
        <v>299</v>
      </c>
      <c r="J109" s="11" t="str">
        <f t="shared" ref="J109:J110" si="12">"R"&amp;D109</f>
        <v>R0402</v>
      </c>
      <c r="K109" s="11" t="str">
        <f>"R-"&amp;D109&amp;"-"&amp;E109&amp;" "&amp;IF(F109="±0,03","A",IF(F109="±0,1","B",IF(F109="±0,25","C",IF(F109="±0,5","D",IF(F109="±1%","F",IF(F109="±2%","G",IF(F109="±5%","J",IF(F109="±10%","K",IF(F109="±20%","M","")))))))))</f>
        <v>R-0402-806R F</v>
      </c>
      <c r="L109" s="10" t="str">
        <f>K109</f>
        <v>R-0402-806R F</v>
      </c>
    </row>
    <row r="110" spans="1:12" x14ac:dyDescent="0.25">
      <c r="A110" s="10" t="s">
        <v>1540</v>
      </c>
      <c r="B110" s="10" t="s">
        <v>1541</v>
      </c>
      <c r="C110" s="10" t="s">
        <v>294</v>
      </c>
      <c r="D110" s="5" t="s">
        <v>19</v>
      </c>
      <c r="E110" s="10" t="s">
        <v>1542</v>
      </c>
      <c r="F110" s="20" t="s">
        <v>296</v>
      </c>
      <c r="G110" s="10" t="s">
        <v>297</v>
      </c>
      <c r="H110" s="10" t="s">
        <v>298</v>
      </c>
      <c r="I110" s="10" t="s">
        <v>299</v>
      </c>
      <c r="J110" s="11" t="str">
        <f t="shared" si="12"/>
        <v>R0402</v>
      </c>
      <c r="K110" s="11" t="str">
        <f t="shared" ref="K110" si="13">"R-"&amp;D110&amp;"-"&amp;E110&amp;" "&amp;IF(F110="±0,03","A",IF(F110="±0,1","B",IF(F110="±0,25","C",IF(F110="±0,5","D",IF(F110="±1%","F",IF(F110="±2%","G",IF(F110="±5%","J",IF(F110="±10%","K",IF(F110="±20%","M","")))))))))</f>
        <v>R-0402-121K F</v>
      </c>
      <c r="L110" s="10" t="str">
        <f t="shared" ref="L110" si="14">K110</f>
        <v>R-0402-121K F</v>
      </c>
    </row>
    <row r="111" spans="1:12" x14ac:dyDescent="0.25">
      <c r="A111" s="10" t="s">
        <v>1568</v>
      </c>
      <c r="B111" s="10" t="s">
        <v>1569</v>
      </c>
      <c r="C111" s="10" t="s">
        <v>294</v>
      </c>
      <c r="D111" s="5" t="s">
        <v>19</v>
      </c>
      <c r="E111" s="10" t="s">
        <v>1570</v>
      </c>
      <c r="F111" s="20" t="s">
        <v>296</v>
      </c>
      <c r="G111" s="10" t="s">
        <v>297</v>
      </c>
      <c r="H111" s="10" t="s">
        <v>298</v>
      </c>
      <c r="I111" s="10" t="s">
        <v>299</v>
      </c>
      <c r="J111" s="11" t="str">
        <f t="shared" ref="J111" si="15">"R"&amp;D111</f>
        <v>R0402</v>
      </c>
      <c r="K111" s="11" t="str">
        <f t="shared" ref="K111" si="16">"R-"&amp;D111&amp;"-"&amp;E111&amp;" "&amp;IF(F111="±0,03","A",IF(F111="±0,1","B",IF(F111="±0,25","C",IF(F111="±0,5","D",IF(F111="±1%","F",IF(F111="±2%","G",IF(F111="±5%","J",IF(F111="±10%","K",IF(F111="±20%","M","")))))))))</f>
        <v>R-0402-365K F</v>
      </c>
      <c r="L111" s="10" t="str">
        <f t="shared" ref="L111" si="17">K111</f>
        <v>R-0402-365K F</v>
      </c>
    </row>
    <row r="112" spans="1:12" x14ac:dyDescent="0.25">
      <c r="A112" s="10" t="s">
        <v>1571</v>
      </c>
      <c r="B112" s="10" t="s">
        <v>1572</v>
      </c>
      <c r="C112" s="10" t="s">
        <v>294</v>
      </c>
      <c r="D112" s="5" t="s">
        <v>19</v>
      </c>
      <c r="E112" s="10" t="s">
        <v>1573</v>
      </c>
      <c r="F112" s="20" t="s">
        <v>296</v>
      </c>
      <c r="G112" s="10" t="s">
        <v>297</v>
      </c>
      <c r="H112" s="10" t="s">
        <v>298</v>
      </c>
      <c r="I112" s="10" t="s">
        <v>299</v>
      </c>
      <c r="J112" s="11" t="str">
        <f t="shared" ref="J112:J114" si="18">"R"&amp;D112</f>
        <v>R0402</v>
      </c>
      <c r="K112" s="11" t="str">
        <f t="shared" ref="K112:K114" si="19">"R-"&amp;D112&amp;"-"&amp;E112&amp;" "&amp;IF(F112="±0,03","A",IF(F112="±0,1","B",IF(F112="±0,25","C",IF(F112="±0,5","D",IF(F112="±1%","F",IF(F112="±2%","G",IF(F112="±5%","J",IF(F112="±10%","K",IF(F112="±20%","M","")))))))))</f>
        <v>R-0402-23K2 F</v>
      </c>
      <c r="L112" s="10" t="str">
        <f t="shared" ref="L112:L114" si="20">K112</f>
        <v>R-0402-23K2 F</v>
      </c>
    </row>
    <row r="113" spans="1:12" x14ac:dyDescent="0.25">
      <c r="A113" s="48" t="s">
        <v>1580</v>
      </c>
      <c r="B113" s="4" t="s">
        <v>1581</v>
      </c>
      <c r="C113" s="10" t="s">
        <v>294</v>
      </c>
      <c r="D113" s="48" t="s">
        <v>1582</v>
      </c>
      <c r="E113" s="48" t="s">
        <v>1583</v>
      </c>
      <c r="F113" s="20" t="s">
        <v>296</v>
      </c>
      <c r="G113" s="10" t="s">
        <v>297</v>
      </c>
      <c r="H113" s="10" t="s">
        <v>298</v>
      </c>
      <c r="I113" s="10" t="s">
        <v>299</v>
      </c>
      <c r="J113" s="11" t="str">
        <f t="shared" si="18"/>
        <v>R1210</v>
      </c>
      <c r="K113" s="11" t="str">
        <f t="shared" si="19"/>
        <v>R-1210-150R F</v>
      </c>
      <c r="L113" s="10" t="str">
        <f t="shared" si="20"/>
        <v>R-1210-150R F</v>
      </c>
    </row>
    <row r="114" spans="1:12" x14ac:dyDescent="0.25">
      <c r="A114" s="48" t="s">
        <v>1590</v>
      </c>
      <c r="B114" s="48" t="s">
        <v>1591</v>
      </c>
      <c r="C114" s="10" t="s">
        <v>294</v>
      </c>
      <c r="D114" s="5" t="s">
        <v>19</v>
      </c>
      <c r="E114" s="48" t="s">
        <v>1592</v>
      </c>
      <c r="F114" s="20" t="s">
        <v>296</v>
      </c>
      <c r="G114" s="10" t="s">
        <v>297</v>
      </c>
      <c r="H114" s="10" t="s">
        <v>298</v>
      </c>
      <c r="I114" s="10" t="s">
        <v>299</v>
      </c>
      <c r="J114" s="11" t="str">
        <f t="shared" si="18"/>
        <v>R0402</v>
      </c>
      <c r="K114" s="11" t="str">
        <f t="shared" si="19"/>
        <v>R-0402-309K F</v>
      </c>
      <c r="L114" s="10" t="str">
        <f t="shared" si="20"/>
        <v>R-0402-309K F</v>
      </c>
    </row>
    <row r="115" spans="1:12" x14ac:dyDescent="0.25">
      <c r="A115" s="48" t="s">
        <v>1595</v>
      </c>
      <c r="B115" s="48" t="s">
        <v>1596</v>
      </c>
      <c r="C115" s="10" t="s">
        <v>294</v>
      </c>
      <c r="D115" s="5" t="s">
        <v>19</v>
      </c>
      <c r="E115" s="48" t="s">
        <v>1597</v>
      </c>
      <c r="F115" s="20" t="s">
        <v>296</v>
      </c>
      <c r="G115" s="10" t="s">
        <v>297</v>
      </c>
      <c r="H115" s="10" t="s">
        <v>298</v>
      </c>
      <c r="I115" s="10" t="s">
        <v>299</v>
      </c>
      <c r="J115" s="11" t="str">
        <f t="shared" ref="J115" si="21">"R"&amp;D115</f>
        <v>R0402</v>
      </c>
      <c r="K115" s="11" t="str">
        <f t="shared" ref="K115" si="22">"R-"&amp;D115&amp;"-"&amp;E115&amp;" "&amp;IF(F115="±0,03","A",IF(F115="±0,1","B",IF(F115="±0,25","C",IF(F115="±0,5","D",IF(F115="±1%","F",IF(F115="±2%","G",IF(F115="±5%","J",IF(F115="±10%","K",IF(F115="±20%","M","")))))))))</f>
        <v>R-0402-22K F</v>
      </c>
      <c r="L115" s="10" t="str">
        <f t="shared" ref="L115" si="23">K115</f>
        <v>R-0402-22K F</v>
      </c>
    </row>
    <row r="116" spans="1:12" x14ac:dyDescent="0.25">
      <c r="A116" s="48" t="s">
        <v>1598</v>
      </c>
      <c r="B116" s="48" t="s">
        <v>1596</v>
      </c>
      <c r="C116" s="10" t="s">
        <v>294</v>
      </c>
      <c r="D116" s="5" t="s">
        <v>19</v>
      </c>
      <c r="E116" s="48" t="s">
        <v>1599</v>
      </c>
      <c r="F116" s="20" t="s">
        <v>296</v>
      </c>
      <c r="G116" s="10" t="s">
        <v>297</v>
      </c>
      <c r="H116" s="10" t="s">
        <v>298</v>
      </c>
      <c r="I116" s="10" t="s">
        <v>299</v>
      </c>
      <c r="J116" s="11" t="str">
        <f t="shared" ref="J116:J117" si="24">"R"&amp;D116</f>
        <v>R0402</v>
      </c>
      <c r="K116" s="11" t="str">
        <f t="shared" ref="K116:K117" si="25">"R-"&amp;D116&amp;"-"&amp;E116&amp;" "&amp;IF(F116="±0,03","A",IF(F116="±0,1","B",IF(F116="±0,25","C",IF(F116="±0,5","D",IF(F116="±1%","F",IF(F116="±2%","G",IF(F116="±5%","J",IF(F116="±10%","K",IF(F116="±20%","M","")))))))))</f>
        <v>R-0402-28K F</v>
      </c>
      <c r="L116" s="10" t="str">
        <f t="shared" ref="L116:L117" si="26">K116</f>
        <v>R-0402-28K F</v>
      </c>
    </row>
    <row r="117" spans="1:12" x14ac:dyDescent="0.25">
      <c r="A117" s="48" t="s">
        <v>1600</v>
      </c>
      <c r="B117" s="4" t="s">
        <v>1601</v>
      </c>
      <c r="C117" s="10" t="s">
        <v>294</v>
      </c>
      <c r="D117" s="10" t="s">
        <v>60</v>
      </c>
      <c r="E117" s="48" t="s">
        <v>1602</v>
      </c>
      <c r="F117" s="20" t="s">
        <v>296</v>
      </c>
      <c r="G117" s="10" t="s">
        <v>297</v>
      </c>
      <c r="H117" s="10" t="s">
        <v>298</v>
      </c>
      <c r="I117" s="10" t="s">
        <v>299</v>
      </c>
      <c r="J117" s="11" t="str">
        <f t="shared" si="24"/>
        <v>R0805</v>
      </c>
      <c r="K117" s="11" t="str">
        <f t="shared" si="25"/>
        <v>R-0805-10R F</v>
      </c>
      <c r="L117" s="10" t="str">
        <f t="shared" si="26"/>
        <v>R-0805-10R F</v>
      </c>
    </row>
  </sheetData>
  <conditionalFormatting sqref="J2:J117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2"/>
  <sheetViews>
    <sheetView showGridLines="0" tabSelected="1" workbookViewId="0">
      <selection activeCell="C26" sqref="C26"/>
    </sheetView>
  </sheetViews>
  <sheetFormatPr defaultColWidth="11.125" defaultRowHeight="15.75" x14ac:dyDescent="0.25"/>
  <cols>
    <col min="1" max="1" width="24" style="10" customWidth="1"/>
    <col min="2" max="2" width="67.75" style="10" customWidth="1"/>
    <col min="3" max="3" width="30" style="10" customWidth="1"/>
    <col min="4" max="4" width="9.5" style="10" customWidth="1"/>
    <col min="5" max="5" width="7.375" style="10" customWidth="1"/>
    <col min="6" max="6" width="28.125" style="10" customWidth="1"/>
    <col min="7" max="7" width="17.25" style="10" customWidth="1"/>
    <col min="8" max="8" width="24" style="10" customWidth="1"/>
    <col min="9" max="9" width="11.5" style="10" customWidth="1"/>
    <col min="10" max="10" width="31.5" style="10" customWidth="1"/>
    <col min="11" max="11" width="13.25" style="10" customWidth="1"/>
    <col min="12" max="12" width="21.875" style="10" customWidth="1"/>
    <col min="13" max="13" width="24.25" style="10" customWidth="1"/>
    <col min="14" max="16384" width="11.125" style="10"/>
  </cols>
  <sheetData>
    <row r="1" spans="1:13" x14ac:dyDescent="0.2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153</v>
      </c>
      <c r="G1" s="10" t="s">
        <v>581</v>
      </c>
      <c r="H1" s="10" t="s">
        <v>9</v>
      </c>
      <c r="I1" s="10" t="s">
        <v>10</v>
      </c>
      <c r="J1" s="10" t="s">
        <v>156</v>
      </c>
      <c r="K1" s="10" t="s">
        <v>157</v>
      </c>
      <c r="L1" s="19" t="s">
        <v>15</v>
      </c>
      <c r="M1" s="19" t="s">
        <v>158</v>
      </c>
    </row>
    <row r="2" spans="1:13" ht="20.100000000000001" customHeight="1" x14ac:dyDescent="0.25">
      <c r="A2" s="10" t="s">
        <v>582</v>
      </c>
      <c r="B2" s="3" t="s">
        <v>583</v>
      </c>
      <c r="C2" s="10" t="s">
        <v>584</v>
      </c>
      <c r="D2" s="10" t="s">
        <v>60</v>
      </c>
      <c r="E2" s="10" t="s">
        <v>585</v>
      </c>
      <c r="F2" t="s">
        <v>586</v>
      </c>
      <c r="G2" s="10" t="s">
        <v>587</v>
      </c>
      <c r="H2" s="2" t="s">
        <v>588</v>
      </c>
      <c r="I2" s="10" t="s">
        <v>589</v>
      </c>
      <c r="J2" s="10" t="s">
        <v>590</v>
      </c>
      <c r="K2" s="48" t="s">
        <v>1527</v>
      </c>
      <c r="L2" s="11" t="str">
        <f t="shared" ref="L2:L14" si="0">IF(I2="IND","L-",IF(I2="Ferrite","F-",""))&amp;A2</f>
        <v>L-0805LS-471XJEC</v>
      </c>
      <c r="M2" s="11" t="str">
        <f t="shared" ref="M2:M14" si="1">L2</f>
        <v>L-0805LS-471XJEC</v>
      </c>
    </row>
    <row r="3" spans="1:13" ht="20.100000000000001" customHeight="1" x14ac:dyDescent="0.25">
      <c r="A3" s="2" t="s">
        <v>591</v>
      </c>
      <c r="B3" s="3" t="s">
        <v>592</v>
      </c>
      <c r="C3" s="10" t="s">
        <v>584</v>
      </c>
      <c r="D3" s="10" t="s">
        <v>19</v>
      </c>
      <c r="E3" s="10" t="s">
        <v>593</v>
      </c>
      <c r="F3" t="s">
        <v>586</v>
      </c>
      <c r="G3" s="10" t="s">
        <v>594</v>
      </c>
      <c r="H3" s="2" t="s">
        <v>588</v>
      </c>
      <c r="I3" s="10" t="s">
        <v>589</v>
      </c>
      <c r="J3" s="10" t="s">
        <v>590</v>
      </c>
      <c r="K3" s="48" t="s">
        <v>1526</v>
      </c>
      <c r="L3" s="11" t="str">
        <f t="shared" si="0"/>
        <v>L-0402FL-181XJRW</v>
      </c>
      <c r="M3" s="11" t="str">
        <f t="shared" si="1"/>
        <v>L-0402FL-181XJRW</v>
      </c>
    </row>
    <row r="4" spans="1:13" ht="20.100000000000001" customHeight="1" x14ac:dyDescent="0.25">
      <c r="A4" s="2" t="s">
        <v>595</v>
      </c>
      <c r="B4" s="3" t="s">
        <v>596</v>
      </c>
      <c r="C4" s="10" t="s">
        <v>584</v>
      </c>
      <c r="D4" s="10" t="s">
        <v>19</v>
      </c>
      <c r="E4" s="10" t="s">
        <v>597</v>
      </c>
      <c r="F4" t="s">
        <v>586</v>
      </c>
      <c r="G4" s="10" t="s">
        <v>598</v>
      </c>
      <c r="H4" s="2" t="s">
        <v>588</v>
      </c>
      <c r="I4" s="10" t="s">
        <v>589</v>
      </c>
      <c r="J4" s="10" t="s">
        <v>590</v>
      </c>
      <c r="K4" s="48" t="s">
        <v>1526</v>
      </c>
      <c r="L4" s="11" t="str">
        <f t="shared" si="0"/>
        <v>L-0402FL-360XJRW</v>
      </c>
      <c r="M4" s="11" t="str">
        <f t="shared" si="1"/>
        <v>L-0402FL-360XJRW</v>
      </c>
    </row>
    <row r="5" spans="1:13" ht="20.100000000000001" customHeight="1" x14ac:dyDescent="0.25">
      <c r="A5" s="2" t="s">
        <v>599</v>
      </c>
      <c r="B5" s="3" t="s">
        <v>600</v>
      </c>
      <c r="C5" s="10" t="s">
        <v>584</v>
      </c>
      <c r="D5" s="10" t="s">
        <v>19</v>
      </c>
      <c r="E5" s="10" t="s">
        <v>601</v>
      </c>
      <c r="F5" t="s">
        <v>586</v>
      </c>
      <c r="G5" s="10" t="s">
        <v>598</v>
      </c>
      <c r="H5" s="2" t="s">
        <v>588</v>
      </c>
      <c r="I5" s="10" t="s">
        <v>589</v>
      </c>
      <c r="J5" s="10" t="s">
        <v>590</v>
      </c>
      <c r="K5" s="48" t="s">
        <v>1526</v>
      </c>
      <c r="L5" s="11" t="str">
        <f t="shared" si="0"/>
        <v>L-0402FL-200XJRW</v>
      </c>
      <c r="M5" s="11" t="str">
        <f t="shared" si="1"/>
        <v>L-0402FL-200XJRW</v>
      </c>
    </row>
    <row r="6" spans="1:13" ht="20.100000000000001" customHeight="1" x14ac:dyDescent="0.25">
      <c r="A6" s="10" t="s">
        <v>602</v>
      </c>
      <c r="B6" s="3" t="s">
        <v>603</v>
      </c>
      <c r="C6" s="10" t="s">
        <v>604</v>
      </c>
      <c r="D6" s="10" t="s">
        <v>90</v>
      </c>
      <c r="E6" s="10" t="s">
        <v>605</v>
      </c>
      <c r="F6" t="s">
        <v>586</v>
      </c>
      <c r="G6" s="10" t="s">
        <v>606</v>
      </c>
      <c r="H6" s="2" t="s">
        <v>588</v>
      </c>
      <c r="I6" s="10" t="s">
        <v>589</v>
      </c>
      <c r="J6" s="10" t="s">
        <v>590</v>
      </c>
      <c r="K6" s="48" t="s">
        <v>1521</v>
      </c>
      <c r="L6" s="11" t="str">
        <f t="shared" si="0"/>
        <v>L-LQW18AN10NG00</v>
      </c>
      <c r="M6" s="11" t="str">
        <f t="shared" si="1"/>
        <v>L-LQW18AN10NG00</v>
      </c>
    </row>
    <row r="7" spans="1:13" x14ac:dyDescent="0.25">
      <c r="A7" s="2" t="s">
        <v>607</v>
      </c>
      <c r="B7" s="3" t="s">
        <v>608</v>
      </c>
      <c r="C7" s="10" t="s">
        <v>584</v>
      </c>
      <c r="D7" s="10" t="s">
        <v>19</v>
      </c>
      <c r="E7" s="10" t="s">
        <v>609</v>
      </c>
      <c r="F7" t="s">
        <v>586</v>
      </c>
      <c r="G7" s="26" t="s">
        <v>610</v>
      </c>
      <c r="H7" s="2" t="s">
        <v>588</v>
      </c>
      <c r="I7" s="10" t="s">
        <v>589</v>
      </c>
      <c r="J7" s="10" t="s">
        <v>590</v>
      </c>
      <c r="K7" s="48" t="s">
        <v>1525</v>
      </c>
      <c r="L7" s="11" t="str">
        <f t="shared" si="0"/>
        <v>L-0402CS-39NXGLW</v>
      </c>
      <c r="M7" s="11" t="str">
        <f t="shared" si="1"/>
        <v>L-0402CS-39NXGLW</v>
      </c>
    </row>
    <row r="8" spans="1:13" x14ac:dyDescent="0.25">
      <c r="A8" s="2" t="s">
        <v>611</v>
      </c>
      <c r="B8" s="3" t="s">
        <v>612</v>
      </c>
      <c r="C8" s="10" t="s">
        <v>604</v>
      </c>
      <c r="D8" s="10" t="s">
        <v>90</v>
      </c>
      <c r="E8" s="10" t="s">
        <v>613</v>
      </c>
      <c r="F8" t="s">
        <v>586</v>
      </c>
      <c r="G8" s="10" t="s">
        <v>614</v>
      </c>
      <c r="H8" s="2" t="s">
        <v>588</v>
      </c>
      <c r="I8" s="10" t="s">
        <v>589</v>
      </c>
      <c r="J8" s="10" t="s">
        <v>590</v>
      </c>
      <c r="K8" s="48" t="s">
        <v>1521</v>
      </c>
      <c r="L8" s="11" t="str">
        <f t="shared" si="0"/>
        <v>L-LQW18AN18NG00D</v>
      </c>
      <c r="M8" s="11" t="str">
        <f t="shared" si="1"/>
        <v>L-LQW18AN18NG00D</v>
      </c>
    </row>
    <row r="9" spans="1:13" x14ac:dyDescent="0.25">
      <c r="A9" s="10" t="s">
        <v>615</v>
      </c>
      <c r="B9" s="10" t="s">
        <v>616</v>
      </c>
      <c r="C9" s="10" t="s">
        <v>604</v>
      </c>
      <c r="D9" s="10" t="s">
        <v>19</v>
      </c>
      <c r="E9" s="10" t="s">
        <v>613</v>
      </c>
      <c r="F9" t="s">
        <v>586</v>
      </c>
      <c r="G9" s="10" t="s">
        <v>617</v>
      </c>
      <c r="H9" s="2" t="s">
        <v>588</v>
      </c>
      <c r="I9" s="10" t="s">
        <v>589</v>
      </c>
      <c r="J9" s="10" t="s">
        <v>590</v>
      </c>
      <c r="K9" s="48" t="s">
        <v>1522</v>
      </c>
      <c r="L9" s="11" t="str">
        <f t="shared" si="0"/>
        <v>L-LQW15AN18NG00D</v>
      </c>
      <c r="M9" s="11" t="str">
        <f t="shared" si="1"/>
        <v>L-LQW15AN18NG00D</v>
      </c>
    </row>
    <row r="10" spans="1:13" x14ac:dyDescent="0.25">
      <c r="A10" s="10" t="s">
        <v>618</v>
      </c>
      <c r="B10" s="10" t="s">
        <v>619</v>
      </c>
      <c r="C10" s="10" t="s">
        <v>584</v>
      </c>
      <c r="D10" s="10" t="s">
        <v>60</v>
      </c>
      <c r="E10" s="10" t="s">
        <v>620</v>
      </c>
      <c r="F10" t="s">
        <v>586</v>
      </c>
      <c r="G10" s="10" t="s">
        <v>621</v>
      </c>
      <c r="H10" s="2" t="s">
        <v>588</v>
      </c>
      <c r="I10" s="10" t="s">
        <v>589</v>
      </c>
      <c r="J10" s="10" t="s">
        <v>590</v>
      </c>
      <c r="K10" s="48" t="s">
        <v>1524</v>
      </c>
      <c r="L10" s="11" t="str">
        <f t="shared" si="0"/>
        <v>L-0805CS-030XJRC</v>
      </c>
      <c r="M10" s="11" t="str">
        <f t="shared" si="1"/>
        <v>L-0805CS-030XJRC</v>
      </c>
    </row>
    <row r="11" spans="1:13" x14ac:dyDescent="0.25">
      <c r="A11" s="10" t="s">
        <v>622</v>
      </c>
      <c r="B11" s="10" t="s">
        <v>623</v>
      </c>
      <c r="C11" s="10" t="s">
        <v>604</v>
      </c>
      <c r="D11" s="10" t="s">
        <v>129</v>
      </c>
      <c r="E11" s="10" t="s">
        <v>624</v>
      </c>
      <c r="F11" t="s">
        <v>586</v>
      </c>
      <c r="G11" s="10" t="s">
        <v>625</v>
      </c>
      <c r="H11" s="2" t="s">
        <v>588</v>
      </c>
      <c r="I11" s="10" t="s">
        <v>589</v>
      </c>
      <c r="J11" s="10" t="s">
        <v>590</v>
      </c>
      <c r="K11" s="48" t="s">
        <v>1523</v>
      </c>
      <c r="L11" s="11" t="str">
        <f t="shared" si="0"/>
        <v>L-LQP03HQ1N5C02D</v>
      </c>
      <c r="M11" s="11" t="str">
        <f t="shared" si="1"/>
        <v>L-LQP03HQ1N5C02D</v>
      </c>
    </row>
    <row r="12" spans="1:13" x14ac:dyDescent="0.25">
      <c r="A12" s="10" t="s">
        <v>626</v>
      </c>
      <c r="B12" s="10" t="s">
        <v>627</v>
      </c>
      <c r="C12" s="10" t="s">
        <v>604</v>
      </c>
      <c r="D12" s="10" t="s">
        <v>129</v>
      </c>
      <c r="E12" s="10" t="s">
        <v>628</v>
      </c>
      <c r="F12" t="s">
        <v>586</v>
      </c>
      <c r="G12" s="10" t="s">
        <v>629</v>
      </c>
      <c r="H12" s="2" t="s">
        <v>588</v>
      </c>
      <c r="I12" s="10" t="s">
        <v>589</v>
      </c>
      <c r="J12" s="10" t="s">
        <v>590</v>
      </c>
      <c r="K12" s="48" t="s">
        <v>1523</v>
      </c>
      <c r="L12" s="11" t="str">
        <f t="shared" si="0"/>
        <v>L-LQP03TN0N7C02J</v>
      </c>
      <c r="M12" s="11" t="str">
        <f t="shared" si="1"/>
        <v>L-LQP03TN0N7C02J</v>
      </c>
    </row>
    <row r="13" spans="1:13" x14ac:dyDescent="0.25">
      <c r="A13" s="10" t="s">
        <v>630</v>
      </c>
      <c r="B13" s="10" t="s">
        <v>631</v>
      </c>
      <c r="C13" s="10" t="s">
        <v>604</v>
      </c>
      <c r="D13" s="10" t="s">
        <v>19</v>
      </c>
      <c r="E13" s="10" t="s">
        <v>632</v>
      </c>
      <c r="F13" t="s">
        <v>586</v>
      </c>
      <c r="G13" s="10" t="s">
        <v>617</v>
      </c>
      <c r="H13" s="2" t="s">
        <v>588</v>
      </c>
      <c r="I13" s="10" t="s">
        <v>589</v>
      </c>
      <c r="J13" s="10" t="s">
        <v>590</v>
      </c>
      <c r="K13" s="48" t="s">
        <v>1522</v>
      </c>
      <c r="L13" s="11" t="str">
        <f t="shared" si="0"/>
        <v>L-LQW15AN43NJ00D</v>
      </c>
      <c r="M13" s="11" t="str">
        <f t="shared" si="1"/>
        <v>L-LQW15AN43NJ00D</v>
      </c>
    </row>
    <row r="14" spans="1:13" x14ac:dyDescent="0.25">
      <c r="A14" s="10" t="s">
        <v>633</v>
      </c>
      <c r="B14" s="10" t="s">
        <v>634</v>
      </c>
      <c r="C14" s="10" t="s">
        <v>604</v>
      </c>
      <c r="D14" s="10" t="s">
        <v>19</v>
      </c>
      <c r="E14" s="10" t="s">
        <v>593</v>
      </c>
      <c r="F14" t="s">
        <v>586</v>
      </c>
      <c r="G14" s="10" t="s">
        <v>635</v>
      </c>
      <c r="H14" s="2" t="s">
        <v>588</v>
      </c>
      <c r="I14" s="10" t="s">
        <v>589</v>
      </c>
      <c r="J14" s="10" t="s">
        <v>590</v>
      </c>
      <c r="K14" s="48" t="s">
        <v>1522</v>
      </c>
      <c r="L14" s="11" t="str">
        <f t="shared" si="0"/>
        <v>L-LQW15AWR18G80D</v>
      </c>
      <c r="M14" s="11" t="str">
        <f t="shared" si="1"/>
        <v>L-LQW15AWR18G80D</v>
      </c>
    </row>
    <row r="15" spans="1:13" x14ac:dyDescent="0.25">
      <c r="A15" s="10" t="s">
        <v>636</v>
      </c>
      <c r="B15" s="10" t="s">
        <v>637</v>
      </c>
      <c r="C15" s="10" t="s">
        <v>604</v>
      </c>
      <c r="D15" s="10" t="s">
        <v>19</v>
      </c>
      <c r="E15" s="10" t="s">
        <v>638</v>
      </c>
      <c r="F15" t="s">
        <v>586</v>
      </c>
      <c r="G15" s="10" t="s">
        <v>639</v>
      </c>
      <c r="H15" s="2" t="s">
        <v>588</v>
      </c>
      <c r="I15" s="10" t="s">
        <v>589</v>
      </c>
      <c r="J15" s="10" t="s">
        <v>590</v>
      </c>
      <c r="K15" s="48" t="s">
        <v>1522</v>
      </c>
      <c r="L15" s="11" t="str">
        <f t="shared" ref="L15:L18" si="2">IF(I15="IND","L-",IF(I15="Ferrite","F-",""))&amp;A15</f>
        <v>L-LQW15AN62NJ00D</v>
      </c>
      <c r="M15" s="11" t="str">
        <f t="shared" ref="M15:M18" si="3">L15</f>
        <v>L-LQW15AN62NJ00D</v>
      </c>
    </row>
    <row r="16" spans="1:13" x14ac:dyDescent="0.25">
      <c r="A16" s="10" t="s">
        <v>640</v>
      </c>
      <c r="B16" s="10" t="s">
        <v>641</v>
      </c>
      <c r="C16" s="10" t="s">
        <v>604</v>
      </c>
      <c r="D16" s="10" t="s">
        <v>19</v>
      </c>
      <c r="E16" s="10" t="s">
        <v>593</v>
      </c>
      <c r="F16" t="s">
        <v>586</v>
      </c>
      <c r="G16" s="10" t="s">
        <v>635</v>
      </c>
      <c r="H16" s="2" t="s">
        <v>588</v>
      </c>
      <c r="I16" s="10" t="s">
        <v>589</v>
      </c>
      <c r="J16" s="10" t="s">
        <v>590</v>
      </c>
      <c r="K16" s="48" t="s">
        <v>1522</v>
      </c>
      <c r="L16" s="11" t="str">
        <f t="shared" si="2"/>
        <v>L-LQW15CNR20J0ZD</v>
      </c>
      <c r="M16" s="11" t="str">
        <f t="shared" si="3"/>
        <v>L-LQW15CNR20J0ZD</v>
      </c>
    </row>
    <row r="17" spans="1:13" x14ac:dyDescent="0.25">
      <c r="A17" s="48" t="s">
        <v>1500</v>
      </c>
      <c r="B17" s="10" t="s">
        <v>1501</v>
      </c>
      <c r="C17" s="10" t="s">
        <v>584</v>
      </c>
      <c r="D17" s="48" t="s">
        <v>1503</v>
      </c>
      <c r="E17" s="10" t="s">
        <v>1502</v>
      </c>
      <c r="F17" t="s">
        <v>586</v>
      </c>
      <c r="G17" s="48" t="s">
        <v>1504</v>
      </c>
      <c r="H17" s="5" t="s">
        <v>588</v>
      </c>
      <c r="I17" s="10" t="s">
        <v>589</v>
      </c>
      <c r="J17" s="10" t="s">
        <v>590</v>
      </c>
      <c r="K17" s="48" t="s">
        <v>1503</v>
      </c>
      <c r="L17" s="11" t="str">
        <f t="shared" si="2"/>
        <v>L-4310LC-132KEC</v>
      </c>
      <c r="M17" s="11" t="str">
        <f t="shared" si="3"/>
        <v>L-4310LC-132KEC</v>
      </c>
    </row>
    <row r="18" spans="1:13" x14ac:dyDescent="0.25">
      <c r="A18" s="48" t="s">
        <v>1508</v>
      </c>
      <c r="B18" s="10" t="s">
        <v>1510</v>
      </c>
      <c r="C18" s="10" t="s">
        <v>604</v>
      </c>
      <c r="D18" s="48" t="s">
        <v>90</v>
      </c>
      <c r="E18" s="48" t="s">
        <v>1511</v>
      </c>
      <c r="F18" t="s">
        <v>586</v>
      </c>
      <c r="G18" s="10" t="s">
        <v>1512</v>
      </c>
      <c r="H18" s="5" t="s">
        <v>588</v>
      </c>
      <c r="I18" s="10" t="s">
        <v>589</v>
      </c>
      <c r="J18" s="10" t="s">
        <v>590</v>
      </c>
      <c r="K18" s="48" t="s">
        <v>1521</v>
      </c>
      <c r="L18" s="11" t="str">
        <f t="shared" si="2"/>
        <v>L-LQW18AN15NJ80D</v>
      </c>
      <c r="M18" s="11" t="str">
        <f t="shared" si="3"/>
        <v>L-LQW18AN15NJ80D</v>
      </c>
    </row>
    <row r="19" spans="1:13" x14ac:dyDescent="0.25">
      <c r="A19" s="10" t="s">
        <v>1509</v>
      </c>
      <c r="B19" s="10" t="s">
        <v>1515</v>
      </c>
      <c r="C19" s="10" t="s">
        <v>604</v>
      </c>
      <c r="D19" s="48" t="s">
        <v>90</v>
      </c>
      <c r="E19" s="48" t="s">
        <v>1516</v>
      </c>
      <c r="F19" t="s">
        <v>586</v>
      </c>
      <c r="G19" s="10" t="s">
        <v>1517</v>
      </c>
      <c r="H19" s="5" t="s">
        <v>588</v>
      </c>
      <c r="I19" s="10" t="s">
        <v>589</v>
      </c>
      <c r="J19" s="10" t="s">
        <v>590</v>
      </c>
      <c r="K19" s="48" t="s">
        <v>1521</v>
      </c>
      <c r="L19" s="11" t="str">
        <f t="shared" ref="L19:L22" si="4">IF(I19="IND","L-",IF(I19="Ferrite","F-",""))&amp;A19</f>
        <v>L-LQW18AS12NG00D</v>
      </c>
      <c r="M19" s="11" t="str">
        <f t="shared" ref="M19:M22" si="5">L19</f>
        <v>L-LQW18AS12NG00D</v>
      </c>
    </row>
    <row r="20" spans="1:13" x14ac:dyDescent="0.25">
      <c r="A20" s="48" t="s">
        <v>1513</v>
      </c>
      <c r="B20" s="10" t="s">
        <v>1518</v>
      </c>
      <c r="C20" s="10" t="s">
        <v>584</v>
      </c>
      <c r="D20" s="48" t="s">
        <v>90</v>
      </c>
      <c r="E20" s="48" t="s">
        <v>1516</v>
      </c>
      <c r="F20" t="s">
        <v>586</v>
      </c>
      <c r="G20" s="48" t="s">
        <v>1519</v>
      </c>
      <c r="H20" s="5" t="s">
        <v>588</v>
      </c>
      <c r="I20" s="10" t="s">
        <v>589</v>
      </c>
      <c r="J20" s="10" t="s">
        <v>590</v>
      </c>
      <c r="K20" s="48" t="s">
        <v>1520</v>
      </c>
      <c r="L20" s="11" t="str">
        <f t="shared" si="4"/>
        <v>L-0603HP-12NXGLW</v>
      </c>
      <c r="M20" s="11" t="str">
        <f t="shared" si="5"/>
        <v>L-0603HP-12NXGLW</v>
      </c>
    </row>
    <row r="21" spans="1:13" x14ac:dyDescent="0.25">
      <c r="A21" s="48" t="s">
        <v>1514</v>
      </c>
      <c r="B21" s="10" t="s">
        <v>1528</v>
      </c>
      <c r="C21" s="10" t="s">
        <v>584</v>
      </c>
      <c r="D21" s="48" t="s">
        <v>90</v>
      </c>
      <c r="E21" s="48" t="s">
        <v>1511</v>
      </c>
      <c r="F21" t="s">
        <v>586</v>
      </c>
      <c r="G21" s="48" t="s">
        <v>1529</v>
      </c>
      <c r="H21" s="5" t="s">
        <v>588</v>
      </c>
      <c r="I21" s="10" t="s">
        <v>589</v>
      </c>
      <c r="J21" s="10" t="s">
        <v>590</v>
      </c>
      <c r="K21" s="48" t="s">
        <v>1530</v>
      </c>
      <c r="L21" s="11" t="str">
        <f t="shared" si="4"/>
        <v>L-0603HC-15NXJLW</v>
      </c>
      <c r="M21" s="11" t="str">
        <f t="shared" si="5"/>
        <v>L-0603HC-15NXJLW</v>
      </c>
    </row>
    <row r="22" spans="1:13" x14ac:dyDescent="0.25">
      <c r="A22" s="48" t="s">
        <v>1603</v>
      </c>
      <c r="B22" s="48" t="s">
        <v>1604</v>
      </c>
      <c r="C22" s="10" t="s">
        <v>584</v>
      </c>
      <c r="D22" s="48" t="s">
        <v>90</v>
      </c>
      <c r="E22" s="48" t="s">
        <v>1605</v>
      </c>
      <c r="F22" t="s">
        <v>586</v>
      </c>
      <c r="G22" s="10" t="s">
        <v>1606</v>
      </c>
      <c r="H22" s="5" t="s">
        <v>588</v>
      </c>
      <c r="I22" s="10" t="s">
        <v>589</v>
      </c>
      <c r="J22" s="10" t="s">
        <v>590</v>
      </c>
      <c r="K22" s="48" t="s">
        <v>1607</v>
      </c>
      <c r="L22" s="11" t="str">
        <f t="shared" si="4"/>
        <v>L-0603LS-102XJ</v>
      </c>
      <c r="M22" s="11" t="str">
        <f t="shared" si="5"/>
        <v>L-0603LS-102XJ</v>
      </c>
    </row>
  </sheetData>
  <phoneticPr fontId="12" type="noConversion"/>
  <conditionalFormatting sqref="K2:K16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7"/>
  <sheetViews>
    <sheetView showGridLines="0" workbookViewId="0">
      <selection activeCell="G21" sqref="G21"/>
    </sheetView>
  </sheetViews>
  <sheetFormatPr defaultRowHeight="15.75" x14ac:dyDescent="0.25"/>
  <cols>
    <col min="1" max="1" width="20" style="2" customWidth="1"/>
    <col min="2" max="2" width="73" style="2" customWidth="1"/>
    <col min="3" max="3" width="32.875" style="2" customWidth="1"/>
    <col min="4" max="4" width="13.75" style="2" customWidth="1"/>
    <col min="5" max="5" width="12.75" style="2" customWidth="1"/>
    <col min="6" max="7" width="24.5" style="2" customWidth="1"/>
    <col min="8" max="9" width="26.25" style="2" customWidth="1"/>
    <col min="10" max="11" width="21.625" style="2" customWidth="1"/>
    <col min="12" max="16384" width="9" style="2"/>
  </cols>
  <sheetData>
    <row r="1" spans="1:11" s="10" customFormat="1" x14ac:dyDescent="0.2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9</v>
      </c>
      <c r="G1" s="10" t="s">
        <v>10</v>
      </c>
      <c r="H1" s="10" t="s">
        <v>156</v>
      </c>
      <c r="I1" s="10" t="s">
        <v>157</v>
      </c>
      <c r="J1" s="19" t="s">
        <v>15</v>
      </c>
      <c r="K1" s="19" t="s">
        <v>158</v>
      </c>
    </row>
    <row r="2" spans="1:11" s="10" customFormat="1" ht="20.100000000000001" customHeight="1" x14ac:dyDescent="0.25">
      <c r="A2" s="10" t="s">
        <v>642</v>
      </c>
      <c r="B2" s="12" t="s">
        <v>643</v>
      </c>
      <c r="C2" s="3" t="s">
        <v>644</v>
      </c>
      <c r="D2" s="10" t="s">
        <v>645</v>
      </c>
      <c r="E2" s="3" t="s">
        <v>646</v>
      </c>
      <c r="F2" s="2" t="s">
        <v>588</v>
      </c>
      <c r="G2" s="10" t="s">
        <v>589</v>
      </c>
      <c r="H2" s="10" t="s">
        <v>590</v>
      </c>
      <c r="I2" s="10" t="s">
        <v>647</v>
      </c>
      <c r="J2" s="11" t="str">
        <f t="shared" ref="J2:J17" si="0">IF(G2="IND","L-",IF(G2="Ferrite","F-",""))&amp;A2</f>
        <v>L-74477020</v>
      </c>
      <c r="K2" s="11" t="str">
        <f t="shared" ref="K2:K17" si="1">J2</f>
        <v>L-74477020</v>
      </c>
    </row>
    <row r="3" spans="1:11" s="10" customFormat="1" ht="20.100000000000001" customHeight="1" x14ac:dyDescent="0.25">
      <c r="A3" s="10" t="s">
        <v>648</v>
      </c>
      <c r="B3" s="3" t="s">
        <v>649</v>
      </c>
      <c r="C3" s="3" t="s">
        <v>650</v>
      </c>
      <c r="D3" s="10" t="s">
        <v>651</v>
      </c>
      <c r="E3" s="3" t="s">
        <v>652</v>
      </c>
      <c r="F3" s="2" t="s">
        <v>588</v>
      </c>
      <c r="G3" s="10" t="s">
        <v>589</v>
      </c>
      <c r="H3" s="10" t="s">
        <v>590</v>
      </c>
      <c r="I3" s="10" t="s">
        <v>653</v>
      </c>
      <c r="J3" s="11" t="str">
        <f t="shared" si="0"/>
        <v>L-IHLP2525CZER100M5A</v>
      </c>
      <c r="K3" s="11" t="str">
        <f t="shared" si="1"/>
        <v>L-IHLP2525CZER100M5A</v>
      </c>
    </row>
    <row r="4" spans="1:11" s="10" customFormat="1" ht="20.100000000000001" customHeight="1" x14ac:dyDescent="0.25">
      <c r="A4" s="10" t="s">
        <v>654</v>
      </c>
      <c r="B4" s="12" t="s">
        <v>655</v>
      </c>
      <c r="C4" s="10" t="s">
        <v>656</v>
      </c>
      <c r="D4" s="10" t="s">
        <v>657</v>
      </c>
      <c r="E4" s="10" t="s">
        <v>658</v>
      </c>
      <c r="F4" s="2" t="s">
        <v>588</v>
      </c>
      <c r="G4" s="10" t="s">
        <v>589</v>
      </c>
      <c r="H4" s="10" t="s">
        <v>590</v>
      </c>
      <c r="J4" s="11" t="str">
        <f t="shared" si="0"/>
        <v>L-PA5001.102NLT</v>
      </c>
      <c r="K4" s="11" t="str">
        <f t="shared" si="1"/>
        <v>L-PA5001.102NLT</v>
      </c>
    </row>
    <row r="5" spans="1:11" s="10" customFormat="1" ht="20.100000000000001" customHeight="1" x14ac:dyDescent="0.25">
      <c r="A5" s="2" t="s">
        <v>659</v>
      </c>
      <c r="B5" s="2" t="s">
        <v>660</v>
      </c>
      <c r="C5" s="10" t="s">
        <v>661</v>
      </c>
      <c r="D5" s="10" t="s">
        <v>662</v>
      </c>
      <c r="E5" s="10" t="s">
        <v>663</v>
      </c>
      <c r="F5" s="2" t="s">
        <v>588</v>
      </c>
      <c r="G5" s="10" t="s">
        <v>589</v>
      </c>
      <c r="H5" s="10" t="s">
        <v>590</v>
      </c>
      <c r="J5" s="11" t="str">
        <f t="shared" si="0"/>
        <v>L-0618CDMCCDS-1R5MC</v>
      </c>
      <c r="K5" s="11" t="str">
        <f t="shared" si="1"/>
        <v>L-0618CDMCCDS-1R5MC</v>
      </c>
    </row>
    <row r="6" spans="1:11" s="10" customFormat="1" ht="20.100000000000001" customHeight="1" x14ac:dyDescent="0.25">
      <c r="A6" s="10" t="s">
        <v>664</v>
      </c>
      <c r="B6" s="22" t="s">
        <v>665</v>
      </c>
      <c r="C6" s="10" t="s">
        <v>644</v>
      </c>
      <c r="D6" s="10" t="s">
        <v>666</v>
      </c>
      <c r="E6" s="10" t="s">
        <v>667</v>
      </c>
      <c r="F6" s="2" t="s">
        <v>588</v>
      </c>
      <c r="G6" s="10" t="s">
        <v>589</v>
      </c>
      <c r="H6" s="10" t="s">
        <v>590</v>
      </c>
      <c r="I6" s="10" t="s">
        <v>668</v>
      </c>
      <c r="J6" s="11" t="str">
        <f t="shared" si="0"/>
        <v>L-744314047</v>
      </c>
      <c r="K6" s="11" t="str">
        <f t="shared" si="1"/>
        <v>L-744314047</v>
      </c>
    </row>
    <row r="7" spans="1:11" x14ac:dyDescent="0.25">
      <c r="A7" s="2">
        <v>74439324015</v>
      </c>
      <c r="B7" s="2" t="s">
        <v>678</v>
      </c>
      <c r="C7" s="10" t="s">
        <v>644</v>
      </c>
      <c r="D7" s="2">
        <v>4030</v>
      </c>
      <c r="E7" s="10" t="s">
        <v>679</v>
      </c>
      <c r="F7" s="2" t="s">
        <v>588</v>
      </c>
      <c r="G7" s="10" t="s">
        <v>589</v>
      </c>
      <c r="H7" s="10" t="s">
        <v>590</v>
      </c>
      <c r="I7" s="2" t="s">
        <v>680</v>
      </c>
      <c r="J7" s="11" t="str">
        <f t="shared" si="0"/>
        <v>L-74439324015</v>
      </c>
      <c r="K7" s="11" t="str">
        <f t="shared" si="1"/>
        <v>L-74439324015</v>
      </c>
    </row>
    <row r="8" spans="1:11" x14ac:dyDescent="0.25">
      <c r="A8" s="2" t="s">
        <v>681</v>
      </c>
      <c r="B8" s="3" t="s">
        <v>682</v>
      </c>
      <c r="C8" s="3" t="s">
        <v>650</v>
      </c>
      <c r="D8" s="10" t="s">
        <v>651</v>
      </c>
      <c r="E8" s="3" t="s">
        <v>683</v>
      </c>
      <c r="F8" s="2" t="s">
        <v>588</v>
      </c>
      <c r="G8" s="10" t="s">
        <v>589</v>
      </c>
      <c r="H8" s="10" t="s">
        <v>590</v>
      </c>
      <c r="I8" s="10" t="s">
        <v>653</v>
      </c>
      <c r="J8" s="11" t="str">
        <f t="shared" si="0"/>
        <v>L-IHLP2525CZER2R2M01</v>
      </c>
      <c r="K8" s="11" t="str">
        <f t="shared" si="1"/>
        <v>L-IHLP2525CZER2R2M01</v>
      </c>
    </row>
    <row r="9" spans="1:11" x14ac:dyDescent="0.25">
      <c r="A9" s="2" t="s">
        <v>684</v>
      </c>
      <c r="B9" s="3" t="s">
        <v>685</v>
      </c>
      <c r="C9" s="3" t="s">
        <v>650</v>
      </c>
      <c r="D9" s="10" t="s">
        <v>651</v>
      </c>
      <c r="E9" s="3" t="s">
        <v>686</v>
      </c>
      <c r="F9" s="2" t="s">
        <v>588</v>
      </c>
      <c r="G9" s="10" t="s">
        <v>589</v>
      </c>
      <c r="H9" s="10" t="s">
        <v>590</v>
      </c>
      <c r="I9" s="10" t="s">
        <v>653</v>
      </c>
      <c r="J9" s="11" t="str">
        <f t="shared" si="0"/>
        <v>L-IHLP2525CZER4R7M01</v>
      </c>
      <c r="K9" s="11" t="str">
        <f t="shared" si="1"/>
        <v>L-IHLP2525CZER4R7M01</v>
      </c>
    </row>
    <row r="10" spans="1:11" x14ac:dyDescent="0.25">
      <c r="A10" s="2" t="s">
        <v>687</v>
      </c>
      <c r="B10" s="3" t="s">
        <v>688</v>
      </c>
      <c r="C10" s="3" t="s">
        <v>650</v>
      </c>
      <c r="D10" s="10" t="s">
        <v>651</v>
      </c>
      <c r="E10" s="3" t="s">
        <v>689</v>
      </c>
      <c r="F10" s="2" t="s">
        <v>588</v>
      </c>
      <c r="G10" s="10" t="s">
        <v>589</v>
      </c>
      <c r="H10" s="10" t="s">
        <v>590</v>
      </c>
      <c r="I10" s="10" t="s">
        <v>653</v>
      </c>
      <c r="J10" s="11" t="str">
        <f t="shared" si="0"/>
        <v>L-IHLP2525CZER1R0M01</v>
      </c>
      <c r="K10" s="11" t="str">
        <f t="shared" si="1"/>
        <v>L-IHLP2525CZER1R0M01</v>
      </c>
    </row>
    <row r="11" spans="1:11" x14ac:dyDescent="0.25">
      <c r="A11" s="2" t="s">
        <v>1246</v>
      </c>
      <c r="B11" s="2" t="s">
        <v>690</v>
      </c>
      <c r="C11" s="3" t="s">
        <v>644</v>
      </c>
      <c r="D11" s="5" t="s">
        <v>60</v>
      </c>
      <c r="E11" s="2" t="s">
        <v>691</v>
      </c>
      <c r="F11" s="2" t="s">
        <v>588</v>
      </c>
      <c r="G11" s="10" t="s">
        <v>671</v>
      </c>
      <c r="H11" s="10" t="s">
        <v>590</v>
      </c>
      <c r="I11" s="2" t="s">
        <v>1319</v>
      </c>
      <c r="J11" s="11" t="str">
        <f t="shared" si="0"/>
        <v>F-742792040</v>
      </c>
      <c r="K11" s="11" t="str">
        <f t="shared" si="1"/>
        <v>F-742792040</v>
      </c>
    </row>
    <row r="12" spans="1:11" x14ac:dyDescent="0.25">
      <c r="A12" s="33" t="s">
        <v>1282</v>
      </c>
      <c r="B12" s="2" t="s">
        <v>1283</v>
      </c>
      <c r="C12" s="33" t="s">
        <v>1284</v>
      </c>
      <c r="D12" s="2">
        <v>1210</v>
      </c>
      <c r="E12" s="10" t="s">
        <v>658</v>
      </c>
      <c r="F12" s="5" t="s">
        <v>588</v>
      </c>
      <c r="G12" s="10" t="s">
        <v>589</v>
      </c>
      <c r="H12" s="10" t="s">
        <v>590</v>
      </c>
      <c r="I12" s="33" t="s">
        <v>1286</v>
      </c>
      <c r="J12" s="11" t="str">
        <f t="shared" si="0"/>
        <v>L-DFE32CAH1R0MR0L</v>
      </c>
      <c r="K12" s="11" t="str">
        <f t="shared" si="1"/>
        <v>L-DFE32CAH1R0MR0L</v>
      </c>
    </row>
    <row r="13" spans="1:11" x14ac:dyDescent="0.25">
      <c r="A13" s="2">
        <v>74438367100</v>
      </c>
      <c r="B13" s="33" t="s">
        <v>1306</v>
      </c>
      <c r="C13" s="3" t="s">
        <v>644</v>
      </c>
      <c r="D13" s="33" t="s">
        <v>1307</v>
      </c>
      <c r="E13" s="33" t="s">
        <v>652</v>
      </c>
      <c r="F13" s="5" t="s">
        <v>588</v>
      </c>
      <c r="G13" s="10" t="s">
        <v>589</v>
      </c>
      <c r="H13" s="10" t="s">
        <v>590</v>
      </c>
      <c r="I13" s="33" t="s">
        <v>1308</v>
      </c>
      <c r="J13" s="11" t="str">
        <f t="shared" si="0"/>
        <v>L-74438367100</v>
      </c>
      <c r="K13" s="11" t="str">
        <f t="shared" si="1"/>
        <v>L-74438367100</v>
      </c>
    </row>
    <row r="14" spans="1:11" x14ac:dyDescent="0.25">
      <c r="A14" s="10" t="s">
        <v>1315</v>
      </c>
      <c r="B14" s="2" t="s">
        <v>1316</v>
      </c>
      <c r="C14" s="2" t="s">
        <v>644</v>
      </c>
      <c r="D14" s="2" t="s">
        <v>1317</v>
      </c>
      <c r="E14" s="2" t="s">
        <v>686</v>
      </c>
      <c r="F14" s="5" t="s">
        <v>588</v>
      </c>
      <c r="G14" s="10" t="s">
        <v>589</v>
      </c>
      <c r="H14" s="10" t="s">
        <v>590</v>
      </c>
      <c r="I14" s="2" t="s">
        <v>1318</v>
      </c>
      <c r="J14" s="11" t="str">
        <f t="shared" si="0"/>
        <v>L-7443844020047</v>
      </c>
      <c r="K14" s="11" t="str">
        <f t="shared" si="1"/>
        <v>L-7443844020047</v>
      </c>
    </row>
    <row r="15" spans="1:11" x14ac:dyDescent="0.25">
      <c r="A15" s="2" t="s">
        <v>1484</v>
      </c>
      <c r="B15" s="2" t="s">
        <v>1485</v>
      </c>
      <c r="C15" s="2" t="s">
        <v>1486</v>
      </c>
      <c r="D15" s="44" t="s">
        <v>1487</v>
      </c>
      <c r="E15" s="44" t="s">
        <v>1488</v>
      </c>
      <c r="F15" s="5" t="s">
        <v>588</v>
      </c>
      <c r="G15" s="10" t="s">
        <v>589</v>
      </c>
      <c r="H15" s="10" t="s">
        <v>590</v>
      </c>
      <c r="J15" s="11" t="str">
        <f t="shared" si="0"/>
        <v>L-SDR1806-150ML</v>
      </c>
      <c r="K15" s="11" t="str">
        <f t="shared" si="1"/>
        <v>L-SDR1806-150ML</v>
      </c>
    </row>
    <row r="16" spans="1:11" x14ac:dyDescent="0.25">
      <c r="A16" s="44" t="s">
        <v>1491</v>
      </c>
      <c r="B16" s="44" t="s">
        <v>1492</v>
      </c>
      <c r="C16" s="2" t="s">
        <v>1489</v>
      </c>
      <c r="D16" s="44" t="s">
        <v>1490</v>
      </c>
      <c r="E16" s="44" t="s">
        <v>1488</v>
      </c>
      <c r="F16" s="5" t="s">
        <v>588</v>
      </c>
      <c r="G16" s="10" t="s">
        <v>589</v>
      </c>
      <c r="H16" s="10" t="s">
        <v>590</v>
      </c>
      <c r="J16" s="11" t="str">
        <f t="shared" si="0"/>
        <v>L-SPQ105-150M</v>
      </c>
      <c r="K16" s="11" t="str">
        <f t="shared" si="1"/>
        <v>L-SPQ105-150M</v>
      </c>
    </row>
    <row r="17" spans="1:11" x14ac:dyDescent="0.25">
      <c r="A17" s="2" t="s">
        <v>1549</v>
      </c>
      <c r="B17" s="2" t="s">
        <v>1550</v>
      </c>
      <c r="C17" s="44" t="s">
        <v>1192</v>
      </c>
      <c r="D17" s="44" t="s">
        <v>1551</v>
      </c>
      <c r="E17" s="44" t="s">
        <v>1552</v>
      </c>
      <c r="F17" s="5" t="s">
        <v>588</v>
      </c>
      <c r="G17" s="10" t="s">
        <v>589</v>
      </c>
      <c r="H17" s="10" t="s">
        <v>590</v>
      </c>
      <c r="J17" s="11" t="str">
        <f t="shared" si="0"/>
        <v>L-B82472G6223M000</v>
      </c>
      <c r="K17" s="11" t="str">
        <f t="shared" si="1"/>
        <v>L-B82472G6223M000</v>
      </c>
    </row>
  </sheetData>
  <conditionalFormatting sqref="I2:I17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"/>
  <sheetViews>
    <sheetView showGridLines="0" workbookViewId="0">
      <selection activeCell="D28" sqref="D28"/>
    </sheetView>
  </sheetViews>
  <sheetFormatPr defaultRowHeight="15.75" x14ac:dyDescent="0.25"/>
  <cols>
    <col min="1" max="1" width="21.75" customWidth="1"/>
    <col min="2" max="2" width="86.375" customWidth="1"/>
    <col min="3" max="3" width="21.875" customWidth="1"/>
    <col min="4" max="4" width="36.25" customWidth="1"/>
    <col min="5" max="5" width="18.125" customWidth="1"/>
    <col min="6" max="6" width="26" customWidth="1"/>
    <col min="7" max="7" width="21.75" customWidth="1"/>
    <col min="8" max="8" width="18.125" customWidth="1"/>
    <col min="9" max="9" width="17.75" customWidth="1"/>
  </cols>
  <sheetData>
    <row r="1" spans="1:11" s="10" customFormat="1" x14ac:dyDescent="0.25">
      <c r="A1" s="8" t="s">
        <v>0</v>
      </c>
      <c r="B1" s="8" t="s">
        <v>1</v>
      </c>
      <c r="C1" s="8" t="s">
        <v>2</v>
      </c>
      <c r="D1" s="8" t="s">
        <v>9</v>
      </c>
      <c r="E1" s="8" t="s">
        <v>10</v>
      </c>
      <c r="F1" s="8" t="s">
        <v>156</v>
      </c>
      <c r="G1" s="8" t="s">
        <v>157</v>
      </c>
      <c r="H1" s="18" t="s">
        <v>15</v>
      </c>
      <c r="I1" s="18" t="s">
        <v>158</v>
      </c>
    </row>
    <row r="2" spans="1:11" x14ac:dyDescent="0.25">
      <c r="A2" s="6" t="s">
        <v>692</v>
      </c>
      <c r="B2" s="6" t="s">
        <v>693</v>
      </c>
      <c r="C2" s="8" t="s">
        <v>604</v>
      </c>
      <c r="D2" s="6" t="s">
        <v>694</v>
      </c>
      <c r="E2" s="8" t="s">
        <v>695</v>
      </c>
      <c r="F2" s="8"/>
      <c r="G2" s="8"/>
      <c r="H2" s="9" t="str">
        <f>"Z-"&amp;A2</f>
        <v>Z-BNX025H01L</v>
      </c>
      <c r="I2" s="9" t="str">
        <f>H2</f>
        <v>Z-BNX025H01L</v>
      </c>
    </row>
    <row r="3" spans="1:11" x14ac:dyDescent="0.25">
      <c r="A3" s="6" t="s">
        <v>696</v>
      </c>
      <c r="B3" s="6" t="s">
        <v>697</v>
      </c>
      <c r="C3" s="8" t="s">
        <v>604</v>
      </c>
      <c r="D3" s="6" t="s">
        <v>694</v>
      </c>
      <c r="E3" s="6" t="s">
        <v>698</v>
      </c>
      <c r="F3" s="6"/>
      <c r="G3" s="6"/>
      <c r="H3" s="9" t="str">
        <f>"Z-"&amp;A3</f>
        <v>Z-NFM41PC155B1E3</v>
      </c>
      <c r="I3" s="9" t="str">
        <f>H3</f>
        <v>Z-NFM41PC155B1E3</v>
      </c>
    </row>
    <row r="4" spans="1:11" s="10" customFormat="1" ht="20.100000000000001" customHeight="1" x14ac:dyDescent="0.25">
      <c r="A4" s="8" t="s">
        <v>669</v>
      </c>
      <c r="B4" s="21" t="s">
        <v>670</v>
      </c>
      <c r="C4" s="8" t="s">
        <v>604</v>
      </c>
      <c r="D4" s="6" t="s">
        <v>588</v>
      </c>
      <c r="E4" s="8" t="s">
        <v>671</v>
      </c>
      <c r="F4" s="10" t="s">
        <v>590</v>
      </c>
      <c r="G4" s="10" t="s">
        <v>672</v>
      </c>
      <c r="H4" s="9" t="str">
        <f>"F-"&amp;A4</f>
        <v>F-BLM15GG471SN1D</v>
      </c>
      <c r="I4" s="9" t="str">
        <f>H4</f>
        <v>F-BLM15GG471SN1D</v>
      </c>
    </row>
    <row r="5" spans="1:11" s="10" customFormat="1" ht="20.100000000000001" customHeight="1" x14ac:dyDescent="0.25">
      <c r="A5" s="10" t="s">
        <v>673</v>
      </c>
      <c r="B5" s="3" t="s">
        <v>674</v>
      </c>
      <c r="C5" s="10" t="s">
        <v>604</v>
      </c>
      <c r="D5" s="6" t="s">
        <v>588</v>
      </c>
      <c r="E5" s="8" t="s">
        <v>671</v>
      </c>
      <c r="F5" s="10" t="s">
        <v>590</v>
      </c>
      <c r="G5" s="10" t="s">
        <v>675</v>
      </c>
      <c r="H5" s="9" t="str">
        <f t="shared" ref="H5:H6" si="0">"F-"&amp;A5</f>
        <v>F-BLM18PG471SN1D</v>
      </c>
      <c r="I5" s="9" t="str">
        <f t="shared" ref="I5:I6" si="1">H5</f>
        <v>F-BLM18PG471SN1D</v>
      </c>
      <c r="J5" s="11"/>
      <c r="K5" s="11"/>
    </row>
    <row r="6" spans="1:11" s="2" customFormat="1" x14ac:dyDescent="0.25">
      <c r="A6" s="2" t="s">
        <v>676</v>
      </c>
      <c r="B6" s="2" t="s">
        <v>677</v>
      </c>
      <c r="C6" s="10" t="s">
        <v>604</v>
      </c>
      <c r="D6" s="6" t="s">
        <v>588</v>
      </c>
      <c r="E6" s="8" t="s">
        <v>671</v>
      </c>
      <c r="F6" s="10" t="s">
        <v>590</v>
      </c>
      <c r="G6" s="10" t="s">
        <v>672</v>
      </c>
      <c r="H6" s="9" t="str">
        <f t="shared" si="0"/>
        <v>F-BLM15PD121SN1D</v>
      </c>
      <c r="I6" s="9" t="str">
        <f t="shared" si="1"/>
        <v>F-BLM15PD121SN1D</v>
      </c>
      <c r="J6" s="11"/>
      <c r="K6" s="11"/>
    </row>
  </sheetData>
  <conditionalFormatting sqref="G2:G6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40"/>
  <sheetViews>
    <sheetView showGridLines="0" zoomScale="85" zoomScaleNormal="85" workbookViewId="0">
      <selection activeCell="I44" sqref="I44"/>
    </sheetView>
  </sheetViews>
  <sheetFormatPr defaultRowHeight="15.75" x14ac:dyDescent="0.25"/>
  <cols>
    <col min="1" max="1" width="45.125" style="2" customWidth="1"/>
    <col min="2" max="2" width="55" style="2" customWidth="1"/>
    <col min="3" max="3" width="16.25" style="2" customWidth="1"/>
    <col min="4" max="4" width="18.375" style="2" customWidth="1"/>
    <col min="5" max="5" width="10.875" style="5" customWidth="1"/>
    <col min="6" max="7" width="10.125" style="2" customWidth="1"/>
    <col min="8" max="8" width="29.5" style="2" customWidth="1"/>
    <col min="9" max="9" width="21" style="2" customWidth="1"/>
    <col min="10" max="10" width="23" style="2" customWidth="1"/>
    <col min="11" max="11" width="20.875" style="2" customWidth="1"/>
    <col min="12" max="12" width="28.125" style="2" customWidth="1"/>
    <col min="13" max="13" width="28.625" style="2" customWidth="1"/>
    <col min="14" max="16384" width="9" style="2"/>
  </cols>
  <sheetData>
    <row r="1" spans="1:13" x14ac:dyDescent="0.25">
      <c r="A1" s="10" t="s">
        <v>0</v>
      </c>
      <c r="B1" s="10" t="s">
        <v>1</v>
      </c>
      <c r="C1" s="10" t="s">
        <v>2</v>
      </c>
      <c r="D1" s="10" t="s">
        <v>3</v>
      </c>
      <c r="E1" s="10" t="s">
        <v>154</v>
      </c>
      <c r="F1" s="10" t="s">
        <v>155</v>
      </c>
      <c r="G1" s="10" t="s">
        <v>8</v>
      </c>
      <c r="H1" s="10" t="s">
        <v>9</v>
      </c>
      <c r="I1" s="10" t="s">
        <v>10</v>
      </c>
      <c r="J1" s="10" t="s">
        <v>156</v>
      </c>
      <c r="K1" s="10" t="s">
        <v>157</v>
      </c>
      <c r="L1" s="19" t="s">
        <v>15</v>
      </c>
      <c r="M1" s="23" t="s">
        <v>158</v>
      </c>
    </row>
    <row r="2" spans="1:13" x14ac:dyDescent="0.25">
      <c r="A2" s="5" t="s">
        <v>159</v>
      </c>
      <c r="B2" s="5" t="s">
        <v>1386</v>
      </c>
      <c r="C2" s="5" t="s">
        <v>160</v>
      </c>
      <c r="D2" s="5" t="s">
        <v>161</v>
      </c>
      <c r="E2" s="5" t="s">
        <v>162</v>
      </c>
      <c r="F2" s="15" t="s">
        <v>163</v>
      </c>
      <c r="G2" s="5" t="s">
        <v>164</v>
      </c>
      <c r="H2" s="5" t="s">
        <v>165</v>
      </c>
      <c r="I2" s="5" t="s">
        <v>159</v>
      </c>
      <c r="J2" s="10" t="s">
        <v>166</v>
      </c>
      <c r="K2" s="5" t="s">
        <v>167</v>
      </c>
      <c r="L2" s="5" t="str">
        <f t="shared" ref="L2:L30" si="0">A2</f>
        <v>ADM7150ACPZ-3.3</v>
      </c>
      <c r="M2" s="5" t="str">
        <f t="shared" ref="M2:M19" si="1">L2</f>
        <v>ADM7150ACPZ-3.3</v>
      </c>
    </row>
    <row r="3" spans="1:13" x14ac:dyDescent="0.25">
      <c r="A3" s="5" t="s">
        <v>168</v>
      </c>
      <c r="B3" s="5" t="s">
        <v>1387</v>
      </c>
      <c r="C3" s="5" t="s">
        <v>160</v>
      </c>
      <c r="D3" s="5" t="s">
        <v>161</v>
      </c>
      <c r="E3" s="5" t="s">
        <v>169</v>
      </c>
      <c r="F3" s="15" t="s">
        <v>170</v>
      </c>
      <c r="G3" s="5" t="s">
        <v>164</v>
      </c>
      <c r="H3" s="5" t="s">
        <v>165</v>
      </c>
      <c r="I3" s="5" t="s">
        <v>171</v>
      </c>
      <c r="J3" s="10" t="s">
        <v>166</v>
      </c>
      <c r="K3" s="5" t="s">
        <v>167</v>
      </c>
      <c r="L3" s="5" t="str">
        <f t="shared" si="0"/>
        <v>ADM7154ACPZ-1.8-R7</v>
      </c>
      <c r="M3" s="5" t="str">
        <f t="shared" si="1"/>
        <v>ADM7154ACPZ-1.8-R7</v>
      </c>
    </row>
    <row r="4" spans="1:13" x14ac:dyDescent="0.25">
      <c r="A4" s="5" t="s">
        <v>172</v>
      </c>
      <c r="B4" s="5" t="s">
        <v>1378</v>
      </c>
      <c r="C4" s="5" t="s">
        <v>160</v>
      </c>
      <c r="D4" s="5" t="s">
        <v>161</v>
      </c>
      <c r="E4" s="5" t="s">
        <v>173</v>
      </c>
      <c r="F4" s="5" t="s">
        <v>174</v>
      </c>
      <c r="G4" s="5" t="s">
        <v>164</v>
      </c>
      <c r="H4" s="5" t="s">
        <v>165</v>
      </c>
      <c r="I4" s="5" t="s">
        <v>175</v>
      </c>
      <c r="J4" s="10" t="s">
        <v>166</v>
      </c>
      <c r="K4" s="5" t="s">
        <v>167</v>
      </c>
      <c r="L4" s="5" t="str">
        <f t="shared" si="0"/>
        <v>ADM7170ACPZ-R7</v>
      </c>
      <c r="M4" s="5" t="str">
        <f t="shared" si="1"/>
        <v>ADM7170ACPZ-R7</v>
      </c>
    </row>
    <row r="5" spans="1:13" x14ac:dyDescent="0.25">
      <c r="A5" s="5" t="s">
        <v>176</v>
      </c>
      <c r="B5" s="5" t="s">
        <v>1388</v>
      </c>
      <c r="C5" s="5" t="s">
        <v>160</v>
      </c>
      <c r="D5" s="5" t="s">
        <v>161</v>
      </c>
      <c r="E5" s="5" t="s">
        <v>173</v>
      </c>
      <c r="F5" s="5" t="s">
        <v>174</v>
      </c>
      <c r="G5" s="5" t="s">
        <v>164</v>
      </c>
      <c r="H5" s="5" t="s">
        <v>165</v>
      </c>
      <c r="I5" s="5" t="s">
        <v>175</v>
      </c>
      <c r="J5" s="10" t="s">
        <v>166</v>
      </c>
      <c r="K5" s="5" t="s">
        <v>167</v>
      </c>
      <c r="L5" s="5" t="str">
        <f t="shared" si="0"/>
        <v>ADM7172ACPZ-R7</v>
      </c>
      <c r="M5" s="5" t="str">
        <f t="shared" si="1"/>
        <v>ADM7172ACPZ-R7</v>
      </c>
    </row>
    <row r="6" spans="1:13" x14ac:dyDescent="0.25">
      <c r="A6" s="5" t="s">
        <v>177</v>
      </c>
      <c r="B6" s="5" t="s">
        <v>1389</v>
      </c>
      <c r="C6" s="5" t="s">
        <v>160</v>
      </c>
      <c r="D6" s="5" t="s">
        <v>178</v>
      </c>
      <c r="E6" s="5" t="s">
        <v>179</v>
      </c>
      <c r="F6" s="15" t="s">
        <v>170</v>
      </c>
      <c r="G6" s="5" t="s">
        <v>164</v>
      </c>
      <c r="H6" s="5" t="s">
        <v>165</v>
      </c>
      <c r="I6" s="5" t="s">
        <v>180</v>
      </c>
      <c r="J6" s="10" t="s">
        <v>166</v>
      </c>
      <c r="K6" s="5" t="s">
        <v>181</v>
      </c>
      <c r="L6" s="5" t="str">
        <f t="shared" si="0"/>
        <v>ADP151AUJZ-1.8</v>
      </c>
      <c r="M6" s="5" t="str">
        <f t="shared" si="1"/>
        <v>ADP151AUJZ-1.8</v>
      </c>
    </row>
    <row r="7" spans="1:13" x14ac:dyDescent="0.25">
      <c r="A7" s="5" t="s">
        <v>180</v>
      </c>
      <c r="B7" s="5" t="s">
        <v>1390</v>
      </c>
      <c r="C7" s="5" t="s">
        <v>160</v>
      </c>
      <c r="D7" s="5" t="s">
        <v>178</v>
      </c>
      <c r="E7" s="5" t="s">
        <v>179</v>
      </c>
      <c r="F7" s="15" t="s">
        <v>182</v>
      </c>
      <c r="G7" s="5" t="s">
        <v>164</v>
      </c>
      <c r="H7" s="5" t="s">
        <v>165</v>
      </c>
      <c r="I7" s="5" t="s">
        <v>180</v>
      </c>
      <c r="J7" s="10" t="s">
        <v>166</v>
      </c>
      <c r="K7" s="5"/>
      <c r="L7" s="5" t="str">
        <f t="shared" si="0"/>
        <v>ADP151AUJZ-2.5</v>
      </c>
      <c r="M7" s="5" t="str">
        <f t="shared" si="1"/>
        <v>ADP151AUJZ-2.5</v>
      </c>
    </row>
    <row r="8" spans="1:13" x14ac:dyDescent="0.25">
      <c r="A8" s="5" t="s">
        <v>183</v>
      </c>
      <c r="B8" s="5" t="s">
        <v>1391</v>
      </c>
      <c r="C8" s="5" t="s">
        <v>160</v>
      </c>
      <c r="D8" s="5" t="s">
        <v>184</v>
      </c>
      <c r="E8" s="5" t="s">
        <v>185</v>
      </c>
      <c r="F8" s="5" t="s">
        <v>186</v>
      </c>
      <c r="G8" s="5" t="s">
        <v>164</v>
      </c>
      <c r="H8" s="5" t="s">
        <v>165</v>
      </c>
      <c r="I8" s="5" t="s">
        <v>183</v>
      </c>
      <c r="J8" s="10" t="s">
        <v>166</v>
      </c>
      <c r="K8" s="5"/>
      <c r="L8" s="5" t="str">
        <f t="shared" si="0"/>
        <v>ADP1763ACPZ</v>
      </c>
      <c r="M8" s="5" t="str">
        <f t="shared" si="1"/>
        <v>ADP1763ACPZ</v>
      </c>
    </row>
    <row r="9" spans="1:13" x14ac:dyDescent="0.25">
      <c r="A9" s="5" t="s">
        <v>187</v>
      </c>
      <c r="B9" s="5" t="s">
        <v>1392</v>
      </c>
      <c r="C9" s="5" t="s">
        <v>160</v>
      </c>
      <c r="D9" s="5" t="s">
        <v>188</v>
      </c>
      <c r="E9" s="5" t="s">
        <v>189</v>
      </c>
      <c r="F9" s="5">
        <v>1</v>
      </c>
      <c r="G9" s="5" t="s">
        <v>190</v>
      </c>
      <c r="H9" s="5" t="s">
        <v>191</v>
      </c>
      <c r="I9" s="5" t="s">
        <v>192</v>
      </c>
      <c r="J9" s="10" t="s">
        <v>166</v>
      </c>
      <c r="K9" s="5" t="s">
        <v>193</v>
      </c>
      <c r="L9" s="5" t="str">
        <f t="shared" si="0"/>
        <v>ADP2166ACPZ-1.0-R7</v>
      </c>
      <c r="M9" s="5" t="str">
        <f t="shared" si="1"/>
        <v>ADP2166ACPZ-1.0-R7</v>
      </c>
    </row>
    <row r="10" spans="1:13" x14ac:dyDescent="0.25">
      <c r="A10" s="5" t="s">
        <v>194</v>
      </c>
      <c r="B10" s="5" t="s">
        <v>1393</v>
      </c>
      <c r="C10" s="5" t="s">
        <v>160</v>
      </c>
      <c r="D10" s="5" t="s">
        <v>195</v>
      </c>
      <c r="E10" s="5" t="s">
        <v>196</v>
      </c>
      <c r="F10" s="5" t="s">
        <v>197</v>
      </c>
      <c r="G10" s="5" t="s">
        <v>190</v>
      </c>
      <c r="H10" s="5" t="s">
        <v>191</v>
      </c>
      <c r="I10" s="5" t="s">
        <v>194</v>
      </c>
      <c r="J10" s="10" t="s">
        <v>166</v>
      </c>
      <c r="K10" s="5"/>
      <c r="L10" s="5" t="str">
        <f t="shared" si="0"/>
        <v>ADP5054ACPZ</v>
      </c>
      <c r="M10" s="5" t="str">
        <f t="shared" si="1"/>
        <v>ADP5054ACPZ</v>
      </c>
    </row>
    <row r="11" spans="1:13" x14ac:dyDescent="0.25">
      <c r="A11" s="5" t="s">
        <v>1241</v>
      </c>
      <c r="B11" s="5" t="s">
        <v>1394</v>
      </c>
      <c r="C11" s="5" t="s">
        <v>198</v>
      </c>
      <c r="D11" s="5" t="s">
        <v>199</v>
      </c>
      <c r="E11" s="5" t="s">
        <v>200</v>
      </c>
      <c r="F11" s="5" t="s">
        <v>201</v>
      </c>
      <c r="G11" s="5" t="s">
        <v>190</v>
      </c>
      <c r="H11" s="5" t="s">
        <v>191</v>
      </c>
      <c r="I11" s="5" t="s">
        <v>202</v>
      </c>
      <c r="J11" s="10" t="s">
        <v>166</v>
      </c>
      <c r="K11" s="5" t="s">
        <v>199</v>
      </c>
      <c r="L11" s="5" t="str">
        <f t="shared" si="0"/>
        <v>LM2585S-ADJ/NOPB</v>
      </c>
      <c r="M11" s="5" t="str">
        <f t="shared" si="1"/>
        <v>LM2585S-ADJ/NOPB</v>
      </c>
    </row>
    <row r="12" spans="1:13" x14ac:dyDescent="0.25">
      <c r="A12" s="5" t="s">
        <v>203</v>
      </c>
      <c r="B12" s="5" t="s">
        <v>1395</v>
      </c>
      <c r="C12" s="5" t="s">
        <v>198</v>
      </c>
      <c r="D12" s="5" t="s">
        <v>204</v>
      </c>
      <c r="E12" s="5" t="s">
        <v>205</v>
      </c>
      <c r="F12" s="5" t="s">
        <v>206</v>
      </c>
      <c r="G12" s="5" t="s">
        <v>190</v>
      </c>
      <c r="H12" s="5" t="s">
        <v>191</v>
      </c>
      <c r="I12" s="5" t="s">
        <v>207</v>
      </c>
      <c r="J12" s="10" t="s">
        <v>166</v>
      </c>
      <c r="K12" s="5" t="s">
        <v>204</v>
      </c>
      <c r="L12" s="5" t="str">
        <f t="shared" si="0"/>
        <v>LM2664M6X</v>
      </c>
      <c r="M12" s="5" t="str">
        <f t="shared" si="1"/>
        <v>LM2664M6X</v>
      </c>
    </row>
    <row r="13" spans="1:13" x14ac:dyDescent="0.25">
      <c r="A13" s="17" t="s">
        <v>208</v>
      </c>
      <c r="B13" s="5" t="s">
        <v>1396</v>
      </c>
      <c r="C13" s="5" t="s">
        <v>198</v>
      </c>
      <c r="D13" s="5" t="s">
        <v>209</v>
      </c>
      <c r="E13" s="5" t="s">
        <v>210</v>
      </c>
      <c r="F13" s="5" t="s">
        <v>211</v>
      </c>
      <c r="G13" s="5" t="s">
        <v>164</v>
      </c>
      <c r="H13" s="5" t="s">
        <v>165</v>
      </c>
      <c r="I13" s="5" t="s">
        <v>208</v>
      </c>
      <c r="J13" s="10" t="s">
        <v>166</v>
      </c>
      <c r="K13" s="5" t="s">
        <v>209</v>
      </c>
      <c r="L13" s="5" t="str">
        <f t="shared" si="0"/>
        <v>LM27762DSS</v>
      </c>
      <c r="M13" s="5" t="str">
        <f t="shared" si="1"/>
        <v>LM27762DSS</v>
      </c>
    </row>
    <row r="14" spans="1:13" x14ac:dyDescent="0.25">
      <c r="A14" s="5" t="s">
        <v>212</v>
      </c>
      <c r="B14" s="5" t="s">
        <v>1397</v>
      </c>
      <c r="C14" s="5" t="s">
        <v>198</v>
      </c>
      <c r="D14" s="5" t="s">
        <v>213</v>
      </c>
      <c r="E14" s="5" t="s">
        <v>214</v>
      </c>
      <c r="F14" s="5">
        <v>5</v>
      </c>
      <c r="G14" s="5" t="s">
        <v>164</v>
      </c>
      <c r="H14" s="5" t="s">
        <v>165</v>
      </c>
      <c r="I14" s="5" t="s">
        <v>215</v>
      </c>
      <c r="J14" s="10" t="s">
        <v>166</v>
      </c>
      <c r="K14" s="5" t="s">
        <v>213</v>
      </c>
      <c r="L14" s="5" t="str">
        <f t="shared" si="0"/>
        <v>LP38690SD-5.0</v>
      </c>
      <c r="M14" s="5" t="str">
        <f t="shared" si="1"/>
        <v>LP38690SD-5.0</v>
      </c>
    </row>
    <row r="15" spans="1:13" x14ac:dyDescent="0.25">
      <c r="A15" s="5" t="s">
        <v>216</v>
      </c>
      <c r="B15" s="44" t="s">
        <v>1398</v>
      </c>
      <c r="C15" s="5" t="s">
        <v>198</v>
      </c>
      <c r="D15" s="5" t="s">
        <v>213</v>
      </c>
      <c r="E15" s="5" t="s">
        <v>217</v>
      </c>
      <c r="F15" s="5">
        <v>5</v>
      </c>
      <c r="G15" s="5" t="s">
        <v>164</v>
      </c>
      <c r="H15" s="5" t="s">
        <v>165</v>
      </c>
      <c r="I15" s="5" t="s">
        <v>218</v>
      </c>
      <c r="J15" s="10" t="s">
        <v>166</v>
      </c>
      <c r="K15" s="5" t="s">
        <v>213</v>
      </c>
      <c r="L15" s="5" t="str">
        <f t="shared" si="0"/>
        <v>LP5912-5.0DRVR</v>
      </c>
      <c r="M15" s="5" t="str">
        <f t="shared" si="1"/>
        <v>LP5912-5.0DRVR</v>
      </c>
    </row>
    <row r="16" spans="1:13" x14ac:dyDescent="0.25">
      <c r="A16" s="5" t="s">
        <v>219</v>
      </c>
      <c r="B16" s="5" t="s">
        <v>1399</v>
      </c>
      <c r="C16" s="5" t="s">
        <v>160</v>
      </c>
      <c r="D16" s="5" t="s">
        <v>220</v>
      </c>
      <c r="E16" s="5" t="s">
        <v>221</v>
      </c>
      <c r="F16" s="5" t="s">
        <v>222</v>
      </c>
      <c r="G16" s="5" t="s">
        <v>164</v>
      </c>
      <c r="H16" s="5" t="s">
        <v>165</v>
      </c>
      <c r="I16" s="5" t="s">
        <v>223</v>
      </c>
      <c r="J16" s="10" t="s">
        <v>166</v>
      </c>
      <c r="K16" s="5" t="s">
        <v>224</v>
      </c>
      <c r="L16" s="5" t="str">
        <f t="shared" si="0"/>
        <v>LT1764EFE#PBF</v>
      </c>
      <c r="M16" s="5" t="str">
        <f t="shared" si="1"/>
        <v>LT1764EFE#PBF</v>
      </c>
    </row>
    <row r="17" spans="1:13" x14ac:dyDescent="0.25">
      <c r="A17" s="5" t="s">
        <v>225</v>
      </c>
      <c r="B17" s="5" t="s">
        <v>1400</v>
      </c>
      <c r="C17" s="5" t="s">
        <v>160</v>
      </c>
      <c r="D17" s="5" t="s">
        <v>226</v>
      </c>
      <c r="E17" s="5" t="s">
        <v>227</v>
      </c>
      <c r="F17" s="5" t="s">
        <v>228</v>
      </c>
      <c r="G17" s="5" t="s">
        <v>164</v>
      </c>
      <c r="H17" s="5" t="s">
        <v>165</v>
      </c>
      <c r="I17" s="5" t="s">
        <v>229</v>
      </c>
      <c r="J17" s="10" t="s">
        <v>166</v>
      </c>
      <c r="K17" s="5" t="s">
        <v>230</v>
      </c>
      <c r="L17" s="5" t="str">
        <f t="shared" si="0"/>
        <v>LT1965EDD#PBF</v>
      </c>
      <c r="M17" s="5" t="str">
        <f t="shared" si="1"/>
        <v>LT1965EDD#PBF</v>
      </c>
    </row>
    <row r="18" spans="1:13" x14ac:dyDescent="0.25">
      <c r="A18" s="5" t="s">
        <v>231</v>
      </c>
      <c r="B18" s="33" t="s">
        <v>1401</v>
      </c>
      <c r="C18" s="5" t="s">
        <v>160</v>
      </c>
      <c r="D18" s="5" t="s">
        <v>232</v>
      </c>
      <c r="E18" s="5" t="s">
        <v>233</v>
      </c>
      <c r="F18" s="5" t="s">
        <v>234</v>
      </c>
      <c r="G18" s="5" t="s">
        <v>190</v>
      </c>
      <c r="H18" s="5" t="s">
        <v>191</v>
      </c>
      <c r="I18" s="5" t="s">
        <v>231</v>
      </c>
      <c r="J18" s="10" t="s">
        <v>166</v>
      </c>
      <c r="K18" s="5"/>
      <c r="L18" s="5" t="str">
        <f t="shared" si="0"/>
        <v>LT8612EUDE</v>
      </c>
      <c r="M18" s="5" t="str">
        <f t="shared" si="1"/>
        <v>LT8612EUDE</v>
      </c>
    </row>
    <row r="19" spans="1:13" x14ac:dyDescent="0.25">
      <c r="A19" s="5" t="s">
        <v>235</v>
      </c>
      <c r="B19" s="5" t="s">
        <v>1402</v>
      </c>
      <c r="C19" s="5" t="s">
        <v>160</v>
      </c>
      <c r="D19" s="5" t="s">
        <v>236</v>
      </c>
      <c r="E19" s="5" t="s">
        <v>237</v>
      </c>
      <c r="F19" s="5" t="s">
        <v>238</v>
      </c>
      <c r="G19" s="5" t="s">
        <v>190</v>
      </c>
      <c r="H19" s="5" t="s">
        <v>191</v>
      </c>
      <c r="I19" s="5" t="s">
        <v>235</v>
      </c>
      <c r="J19" s="10" t="s">
        <v>166</v>
      </c>
      <c r="K19" s="5" t="s">
        <v>239</v>
      </c>
      <c r="L19" s="5" t="str">
        <f t="shared" si="0"/>
        <v>LTM4644</v>
      </c>
      <c r="M19" s="5" t="str">
        <f t="shared" si="1"/>
        <v>LTM4644</v>
      </c>
    </row>
    <row r="20" spans="1:13" x14ac:dyDescent="0.25">
      <c r="A20" s="5" t="s">
        <v>240</v>
      </c>
      <c r="B20" s="5" t="s">
        <v>1403</v>
      </c>
      <c r="C20" s="5" t="s">
        <v>160</v>
      </c>
      <c r="D20" s="5" t="s">
        <v>241</v>
      </c>
      <c r="E20" s="5" t="s">
        <v>242</v>
      </c>
      <c r="F20" s="5" t="s">
        <v>243</v>
      </c>
      <c r="G20" s="5" t="s">
        <v>190</v>
      </c>
      <c r="H20" s="5" t="s">
        <v>191</v>
      </c>
      <c r="I20" s="5" t="s">
        <v>240</v>
      </c>
      <c r="J20" s="10" t="s">
        <v>166</v>
      </c>
      <c r="K20" s="5" t="s">
        <v>244</v>
      </c>
      <c r="L20" s="5" t="str">
        <f t="shared" si="0"/>
        <v>LTM4732</v>
      </c>
      <c r="M20" s="5" t="s">
        <v>240</v>
      </c>
    </row>
    <row r="21" spans="1:13" x14ac:dyDescent="0.25">
      <c r="A21" s="5" t="s">
        <v>245</v>
      </c>
      <c r="B21" s="5" t="s">
        <v>246</v>
      </c>
      <c r="C21" s="5" t="s">
        <v>247</v>
      </c>
      <c r="D21" s="5" t="s">
        <v>248</v>
      </c>
      <c r="E21" s="5" t="s">
        <v>249</v>
      </c>
      <c r="F21" s="5" t="s">
        <v>250</v>
      </c>
      <c r="G21" s="5" t="s">
        <v>164</v>
      </c>
      <c r="H21" s="5" t="s">
        <v>165</v>
      </c>
      <c r="I21" s="5" t="s">
        <v>251</v>
      </c>
      <c r="J21" s="10" t="s">
        <v>166</v>
      </c>
      <c r="K21" s="5"/>
      <c r="L21" s="5" t="str">
        <f t="shared" si="0"/>
        <v>SGM2208XTDF12G/TR</v>
      </c>
      <c r="M21" s="5" t="str">
        <f t="shared" ref="M21:M39" si="2">L21</f>
        <v>SGM2208XTDF12G/TR</v>
      </c>
    </row>
    <row r="22" spans="1:13" x14ac:dyDescent="0.25">
      <c r="A22" s="5" t="s">
        <v>252</v>
      </c>
      <c r="B22" s="5" t="s">
        <v>1404</v>
      </c>
      <c r="C22" s="5" t="s">
        <v>198</v>
      </c>
      <c r="D22" s="5" t="s">
        <v>253</v>
      </c>
      <c r="E22" s="5" t="s">
        <v>254</v>
      </c>
      <c r="F22" s="15" t="s">
        <v>255</v>
      </c>
      <c r="G22" s="5" t="s">
        <v>164</v>
      </c>
      <c r="H22" s="5" t="s">
        <v>165</v>
      </c>
      <c r="I22" s="5" t="s">
        <v>252</v>
      </c>
      <c r="J22" s="10" t="s">
        <v>166</v>
      </c>
      <c r="K22" s="5" t="s">
        <v>181</v>
      </c>
      <c r="L22" s="5" t="str">
        <f t="shared" si="0"/>
        <v>TLV73310PDBVR</v>
      </c>
      <c r="M22" s="5" t="str">
        <f t="shared" si="2"/>
        <v>TLV73310PDBVR</v>
      </c>
    </row>
    <row r="23" spans="1:13" x14ac:dyDescent="0.25">
      <c r="A23" s="5" t="s">
        <v>256</v>
      </c>
      <c r="B23" s="5" t="s">
        <v>1405</v>
      </c>
      <c r="C23" s="5" t="s">
        <v>198</v>
      </c>
      <c r="D23" s="5" t="s">
        <v>253</v>
      </c>
      <c r="E23" s="5" t="s">
        <v>179</v>
      </c>
      <c r="F23" s="15" t="s">
        <v>170</v>
      </c>
      <c r="G23" s="5" t="s">
        <v>164</v>
      </c>
      <c r="H23" s="5" t="s">
        <v>165</v>
      </c>
      <c r="I23" s="5" t="s">
        <v>256</v>
      </c>
      <c r="J23" s="10" t="s">
        <v>166</v>
      </c>
      <c r="K23" s="5" t="s">
        <v>181</v>
      </c>
      <c r="L23" s="5" t="str">
        <f t="shared" si="0"/>
        <v>TLV73318PDBVR</v>
      </c>
      <c r="M23" s="5" t="str">
        <f t="shared" si="2"/>
        <v>TLV73318PDBVR</v>
      </c>
    </row>
    <row r="24" spans="1:13" x14ac:dyDescent="0.25">
      <c r="A24" s="5" t="s">
        <v>257</v>
      </c>
      <c r="B24" s="5" t="s">
        <v>1406</v>
      </c>
      <c r="C24" s="5" t="s">
        <v>198</v>
      </c>
      <c r="D24" s="5" t="s">
        <v>258</v>
      </c>
      <c r="E24" s="16" t="s">
        <v>259</v>
      </c>
      <c r="F24" s="5" t="s">
        <v>260</v>
      </c>
      <c r="G24" s="5" t="s">
        <v>190</v>
      </c>
      <c r="H24" s="5" t="s">
        <v>191</v>
      </c>
      <c r="I24" s="5" t="s">
        <v>261</v>
      </c>
      <c r="J24" s="10" t="s">
        <v>166</v>
      </c>
      <c r="K24" s="5" t="s">
        <v>258</v>
      </c>
      <c r="L24" s="5" t="str">
        <f t="shared" si="0"/>
        <v>TPS54332DDAR</v>
      </c>
      <c r="M24" s="5" t="str">
        <f t="shared" si="2"/>
        <v>TPS54332DDAR</v>
      </c>
    </row>
    <row r="25" spans="1:13" x14ac:dyDescent="0.25">
      <c r="A25" s="5" t="s">
        <v>262</v>
      </c>
      <c r="B25" s="5" t="s">
        <v>1407</v>
      </c>
      <c r="C25" s="5" t="s">
        <v>198</v>
      </c>
      <c r="D25" s="5" t="s">
        <v>263</v>
      </c>
      <c r="E25" s="5" t="s">
        <v>264</v>
      </c>
      <c r="F25" s="5" t="s">
        <v>265</v>
      </c>
      <c r="G25" s="5" t="s">
        <v>190</v>
      </c>
      <c r="H25" s="5" t="s">
        <v>191</v>
      </c>
      <c r="I25" s="5" t="s">
        <v>262</v>
      </c>
      <c r="J25" s="10" t="s">
        <v>166</v>
      </c>
      <c r="K25" s="5"/>
      <c r="L25" s="5" t="str">
        <f t="shared" si="0"/>
        <v>TPS54394RSAR</v>
      </c>
      <c r="M25" s="5" t="str">
        <f t="shared" si="2"/>
        <v>TPS54394RSAR</v>
      </c>
    </row>
    <row r="26" spans="1:13" x14ac:dyDescent="0.25">
      <c r="A26" s="5" t="s">
        <v>266</v>
      </c>
      <c r="B26" s="5" t="s">
        <v>1408</v>
      </c>
      <c r="C26" s="5" t="s">
        <v>198</v>
      </c>
      <c r="D26" s="5" t="s">
        <v>267</v>
      </c>
      <c r="E26" s="5" t="s">
        <v>268</v>
      </c>
      <c r="F26" s="15" t="s">
        <v>269</v>
      </c>
      <c r="G26" s="5" t="s">
        <v>190</v>
      </c>
      <c r="H26" s="5" t="s">
        <v>191</v>
      </c>
      <c r="I26" s="5" t="s">
        <v>270</v>
      </c>
      <c r="J26" s="10" t="s">
        <v>166</v>
      </c>
      <c r="K26" s="5" t="s">
        <v>271</v>
      </c>
      <c r="L26" s="5" t="str">
        <f t="shared" si="0"/>
        <v>TPS566238RQFR</v>
      </c>
      <c r="M26" s="5" t="str">
        <f t="shared" si="2"/>
        <v>TPS566238RQFR</v>
      </c>
    </row>
    <row r="27" spans="1:13" x14ac:dyDescent="0.25">
      <c r="A27" s="5" t="s">
        <v>272</v>
      </c>
      <c r="B27" s="5" t="s">
        <v>1409</v>
      </c>
      <c r="C27" s="5" t="s">
        <v>198</v>
      </c>
      <c r="D27" s="5" t="s">
        <v>273</v>
      </c>
      <c r="E27" s="5" t="s">
        <v>274</v>
      </c>
      <c r="F27" s="15" t="s">
        <v>275</v>
      </c>
      <c r="G27" s="5" t="s">
        <v>164</v>
      </c>
      <c r="H27" s="5" t="s">
        <v>165</v>
      </c>
      <c r="I27" s="5" t="s">
        <v>276</v>
      </c>
      <c r="J27" s="10" t="s">
        <v>166</v>
      </c>
      <c r="K27" s="5" t="s">
        <v>277</v>
      </c>
      <c r="L27" s="5" t="str">
        <f t="shared" si="0"/>
        <v>TPS7A5401RPSR</v>
      </c>
      <c r="M27" s="5" t="str">
        <f t="shared" si="2"/>
        <v>TPS7A5401RPSR</v>
      </c>
    </row>
    <row r="28" spans="1:13" x14ac:dyDescent="0.25">
      <c r="A28" s="5" t="s">
        <v>278</v>
      </c>
      <c r="B28" s="5" t="s">
        <v>1410</v>
      </c>
      <c r="C28" s="5" t="s">
        <v>198</v>
      </c>
      <c r="D28" s="5" t="s">
        <v>279</v>
      </c>
      <c r="E28" s="5" t="s">
        <v>280</v>
      </c>
      <c r="F28" s="5" t="s">
        <v>281</v>
      </c>
      <c r="G28" s="5" t="s">
        <v>164</v>
      </c>
      <c r="H28" s="5" t="s">
        <v>165</v>
      </c>
      <c r="I28" s="5" t="s">
        <v>282</v>
      </c>
      <c r="J28" s="10" t="s">
        <v>166</v>
      </c>
      <c r="K28" s="5" t="s">
        <v>279</v>
      </c>
      <c r="L28" s="5" t="str">
        <f t="shared" si="0"/>
        <v>TPS7A8801RTJ</v>
      </c>
      <c r="M28" s="5" t="str">
        <f t="shared" si="2"/>
        <v>TPS7A8801RTJ</v>
      </c>
    </row>
    <row r="29" spans="1:13" x14ac:dyDescent="0.25">
      <c r="A29" s="5" t="s">
        <v>283</v>
      </c>
      <c r="B29" s="5" t="s">
        <v>1411</v>
      </c>
      <c r="C29" s="5" t="s">
        <v>198</v>
      </c>
      <c r="D29" s="5" t="s">
        <v>284</v>
      </c>
      <c r="E29" s="5" t="s">
        <v>285</v>
      </c>
      <c r="F29" s="5" t="s">
        <v>286</v>
      </c>
      <c r="G29" s="5" t="s">
        <v>190</v>
      </c>
      <c r="H29" s="5" t="s">
        <v>191</v>
      </c>
      <c r="I29" s="5" t="s">
        <v>283</v>
      </c>
      <c r="J29" s="10" t="s">
        <v>166</v>
      </c>
      <c r="K29" s="5" t="s">
        <v>287</v>
      </c>
      <c r="L29" s="5" t="str">
        <f t="shared" si="0"/>
        <v>TPS82140SILT</v>
      </c>
      <c r="M29" s="5" t="str">
        <f t="shared" si="2"/>
        <v>TPS82140SILT</v>
      </c>
    </row>
    <row r="30" spans="1:13" x14ac:dyDescent="0.25">
      <c r="A30" s="5" t="s">
        <v>288</v>
      </c>
      <c r="B30" s="5" t="s">
        <v>1412</v>
      </c>
      <c r="C30" s="5" t="s">
        <v>160</v>
      </c>
      <c r="D30" s="5" t="s">
        <v>289</v>
      </c>
      <c r="E30" s="5" t="s">
        <v>290</v>
      </c>
      <c r="F30" s="5" t="s">
        <v>243</v>
      </c>
      <c r="G30" s="5" t="s">
        <v>190</v>
      </c>
      <c r="H30" s="5" t="s">
        <v>191</v>
      </c>
      <c r="I30" s="5" t="s">
        <v>288</v>
      </c>
      <c r="J30" s="10" t="s">
        <v>166</v>
      </c>
      <c r="K30" s="5" t="s">
        <v>291</v>
      </c>
      <c r="L30" s="5" t="str">
        <f t="shared" si="0"/>
        <v>LTM4707</v>
      </c>
      <c r="M30" s="5" t="str">
        <f t="shared" si="2"/>
        <v>LTM4707</v>
      </c>
    </row>
    <row r="31" spans="1:13" x14ac:dyDescent="0.25">
      <c r="A31" s="5" t="s">
        <v>1242</v>
      </c>
      <c r="B31" s="5" t="s">
        <v>1413</v>
      </c>
      <c r="C31" s="5" t="s">
        <v>160</v>
      </c>
      <c r="D31" s="5" t="s">
        <v>236</v>
      </c>
      <c r="E31" s="5" t="s">
        <v>1243</v>
      </c>
      <c r="F31" s="5" t="s">
        <v>1244</v>
      </c>
      <c r="G31" s="5" t="s">
        <v>190</v>
      </c>
      <c r="H31" s="5" t="s">
        <v>191</v>
      </c>
      <c r="I31" s="5" t="s">
        <v>1245</v>
      </c>
      <c r="J31" s="5" t="s">
        <v>166</v>
      </c>
      <c r="K31" s="5" t="s">
        <v>239</v>
      </c>
      <c r="L31" s="5" t="s">
        <v>1242</v>
      </c>
      <c r="M31" s="5" t="str">
        <f t="shared" si="2"/>
        <v>LTM4653EY#PBF</v>
      </c>
    </row>
    <row r="32" spans="1:13" x14ac:dyDescent="0.25">
      <c r="A32" s="33" t="s">
        <v>1271</v>
      </c>
      <c r="B32" s="5" t="s">
        <v>1414</v>
      </c>
      <c r="C32" s="5" t="s">
        <v>160</v>
      </c>
      <c r="D32" s="33" t="s">
        <v>1263</v>
      </c>
      <c r="E32" s="33" t="s">
        <v>1264</v>
      </c>
      <c r="F32" s="33" t="s">
        <v>1265</v>
      </c>
      <c r="G32" s="5" t="s">
        <v>190</v>
      </c>
      <c r="H32" s="5" t="s">
        <v>191</v>
      </c>
      <c r="I32" s="33" t="s">
        <v>1266</v>
      </c>
      <c r="J32" s="5" t="s">
        <v>166</v>
      </c>
      <c r="K32" s="33" t="s">
        <v>1267</v>
      </c>
      <c r="L32" s="5" t="str">
        <f>LibraryTable3[[#This Row],[Part Number]]</f>
        <v>LTM4656EY#PBF</v>
      </c>
      <c r="M32" s="5" t="str">
        <f t="shared" si="2"/>
        <v>LTM4656EY#PBF</v>
      </c>
    </row>
    <row r="33" spans="1:13" x14ac:dyDescent="0.25">
      <c r="A33" s="33" t="s">
        <v>1276</v>
      </c>
      <c r="B33" s="5" t="s">
        <v>1415</v>
      </c>
      <c r="C33" s="5" t="s">
        <v>160</v>
      </c>
      <c r="D33" s="33" t="s">
        <v>1277</v>
      </c>
      <c r="E33" s="33" t="s">
        <v>1278</v>
      </c>
      <c r="F33" s="33" t="s">
        <v>1280</v>
      </c>
      <c r="G33" s="5" t="s">
        <v>164</v>
      </c>
      <c r="H33" s="5" t="s">
        <v>165</v>
      </c>
      <c r="I33" s="33" t="s">
        <v>1279</v>
      </c>
      <c r="J33" s="5" t="s">
        <v>166</v>
      </c>
      <c r="K33" s="5" t="s">
        <v>1277</v>
      </c>
      <c r="L33" s="5" t="str">
        <f>LibraryTable3[[#This Row],[Part Number]]</f>
        <v>ADP7142AUJZ</v>
      </c>
      <c r="M33" s="5" t="str">
        <f t="shared" si="2"/>
        <v>ADP7142AUJZ</v>
      </c>
    </row>
    <row r="34" spans="1:13" x14ac:dyDescent="0.25">
      <c r="A34" s="33" t="s">
        <v>1285</v>
      </c>
      <c r="B34" s="5" t="s">
        <v>1416</v>
      </c>
      <c r="C34" s="5" t="s">
        <v>160</v>
      </c>
      <c r="D34" s="33" t="s">
        <v>1287</v>
      </c>
      <c r="E34" s="33" t="s">
        <v>1288</v>
      </c>
      <c r="F34" s="5"/>
      <c r="G34" s="5" t="s">
        <v>190</v>
      </c>
      <c r="H34" s="5" t="s">
        <v>191</v>
      </c>
      <c r="I34" s="5" t="s">
        <v>1285</v>
      </c>
      <c r="J34" s="5" t="s">
        <v>166</v>
      </c>
      <c r="K34" s="33" t="s">
        <v>1287</v>
      </c>
      <c r="L34" s="5" t="str">
        <f>LibraryTable3[[#This Row],[Part Number]]</f>
        <v>LT8645S</v>
      </c>
      <c r="M34" s="5" t="str">
        <f t="shared" si="2"/>
        <v>LT8645S</v>
      </c>
    </row>
    <row r="35" spans="1:13" x14ac:dyDescent="0.25">
      <c r="A35" s="44" t="s">
        <v>1358</v>
      </c>
      <c r="B35" s="5" t="s">
        <v>1417</v>
      </c>
      <c r="C35" s="5" t="s">
        <v>160</v>
      </c>
      <c r="D35" s="33" t="s">
        <v>161</v>
      </c>
      <c r="E35" s="33" t="s">
        <v>173</v>
      </c>
      <c r="F35" s="43" t="s">
        <v>1075</v>
      </c>
      <c r="G35" s="5" t="s">
        <v>164</v>
      </c>
      <c r="H35" s="5" t="s">
        <v>165</v>
      </c>
      <c r="I35" s="5" t="s">
        <v>175</v>
      </c>
      <c r="J35" s="5" t="s">
        <v>166</v>
      </c>
      <c r="K35" s="5" t="s">
        <v>167</v>
      </c>
      <c r="L35" s="5" t="str">
        <f>LibraryTable3[[#This Row],[Part Number]]</f>
        <v>ADM7172ACPZ-3.3</v>
      </c>
      <c r="M35" s="5" t="str">
        <f t="shared" si="2"/>
        <v>ADM7172ACPZ-3.3</v>
      </c>
    </row>
    <row r="36" spans="1:13" x14ac:dyDescent="0.25">
      <c r="A36" s="44" t="s">
        <v>1373</v>
      </c>
      <c r="B36" s="5" t="s">
        <v>1374</v>
      </c>
      <c r="C36" s="5" t="s">
        <v>198</v>
      </c>
      <c r="D36" s="5" t="s">
        <v>258</v>
      </c>
      <c r="E36" s="5" t="s">
        <v>1375</v>
      </c>
      <c r="F36" s="5" t="s">
        <v>1376</v>
      </c>
      <c r="G36" s="5" t="s">
        <v>190</v>
      </c>
      <c r="H36" s="5" t="s">
        <v>191</v>
      </c>
      <c r="I36" s="5" t="s">
        <v>1373</v>
      </c>
      <c r="J36" s="5" t="s">
        <v>166</v>
      </c>
      <c r="K36" s="5" t="s">
        <v>258</v>
      </c>
      <c r="L36" s="5" t="str">
        <f>LibraryTable3[[#This Row],[Part Number]]</f>
        <v>LMR33630ADDA</v>
      </c>
      <c r="M36" s="5" t="str">
        <f t="shared" si="2"/>
        <v>LMR33630ADDA</v>
      </c>
    </row>
    <row r="37" spans="1:13" x14ac:dyDescent="0.25">
      <c r="A37" s="44" t="s">
        <v>1377</v>
      </c>
      <c r="B37" s="5" t="s">
        <v>1378</v>
      </c>
      <c r="C37" s="5" t="s">
        <v>160</v>
      </c>
      <c r="D37" s="33" t="s">
        <v>1382</v>
      </c>
      <c r="E37" s="33" t="s">
        <v>1380</v>
      </c>
      <c r="F37" s="33" t="s">
        <v>1381</v>
      </c>
      <c r="G37" s="5" t="s">
        <v>164</v>
      </c>
      <c r="H37" s="5" t="s">
        <v>165</v>
      </c>
      <c r="I37" s="33" t="s">
        <v>1377</v>
      </c>
      <c r="J37" s="5" t="s">
        <v>166</v>
      </c>
      <c r="K37" s="5" t="s">
        <v>1379</v>
      </c>
      <c r="L37" s="5" t="str">
        <f>LibraryTable3[[#This Row],[Part Number]]</f>
        <v>ADP7104ACPZ-R7</v>
      </c>
      <c r="M37" s="5" t="str">
        <f t="shared" si="2"/>
        <v>ADP7104ACPZ-R7</v>
      </c>
    </row>
    <row r="38" spans="1:13" x14ac:dyDescent="0.25">
      <c r="A38" s="33" t="s">
        <v>1383</v>
      </c>
      <c r="B38" s="44" t="s">
        <v>1567</v>
      </c>
      <c r="C38" s="5" t="s">
        <v>198</v>
      </c>
      <c r="D38" s="33" t="s">
        <v>1354</v>
      </c>
      <c r="E38" s="33" t="s">
        <v>1384</v>
      </c>
      <c r="F38" s="33" t="s">
        <v>1385</v>
      </c>
      <c r="G38" s="5" t="s">
        <v>190</v>
      </c>
      <c r="H38" s="5" t="s">
        <v>191</v>
      </c>
      <c r="I38" s="33" t="s">
        <v>1383</v>
      </c>
      <c r="J38" s="5" t="s">
        <v>166</v>
      </c>
      <c r="K38" s="33" t="s">
        <v>1354</v>
      </c>
      <c r="L38" s="5" t="str">
        <f>LibraryTable3[[#This Row],[Part Number]]</f>
        <v>LM51581RTER</v>
      </c>
      <c r="M38" s="5" t="str">
        <f t="shared" si="2"/>
        <v>LM51581RTER</v>
      </c>
    </row>
    <row r="39" spans="1:13" x14ac:dyDescent="0.25">
      <c r="A39" s="5" t="s">
        <v>1553</v>
      </c>
      <c r="B39" s="5" t="s">
        <v>1554</v>
      </c>
      <c r="C39" s="5" t="s">
        <v>198</v>
      </c>
      <c r="D39" s="44" t="s">
        <v>1555</v>
      </c>
      <c r="E39" s="44" t="s">
        <v>1556</v>
      </c>
      <c r="F39" s="44" t="s">
        <v>1557</v>
      </c>
      <c r="G39" s="5" t="s">
        <v>164</v>
      </c>
      <c r="H39" s="5" t="s">
        <v>165</v>
      </c>
      <c r="I39" s="5" t="s">
        <v>1553</v>
      </c>
      <c r="J39" s="5" t="s">
        <v>166</v>
      </c>
      <c r="K39" s="44" t="s">
        <v>1555</v>
      </c>
      <c r="L39" s="5" t="str">
        <f>LibraryTable3[[#This Row],[Part Number]]</f>
        <v>TPS7A4001DGNR</v>
      </c>
      <c r="M39" s="5" t="str">
        <f t="shared" si="2"/>
        <v>TPS7A4001DGNR</v>
      </c>
    </row>
    <row r="40" spans="1:13" s="5" customFormat="1" x14ac:dyDescent="0.25">
      <c r="A40" s="44" t="s">
        <v>1565</v>
      </c>
      <c r="B40" s="44" t="s">
        <v>1566</v>
      </c>
      <c r="C40" s="5" t="s">
        <v>198</v>
      </c>
      <c r="D40" s="33" t="s">
        <v>1354</v>
      </c>
      <c r="E40" s="33" t="s">
        <v>1384</v>
      </c>
      <c r="F40" s="33" t="s">
        <v>1385</v>
      </c>
      <c r="G40" s="5" t="s">
        <v>190</v>
      </c>
      <c r="H40" s="5" t="s">
        <v>191</v>
      </c>
      <c r="I40" s="44" t="s">
        <v>1383</v>
      </c>
      <c r="J40" s="5" t="s">
        <v>166</v>
      </c>
      <c r="K40" s="33" t="s">
        <v>1354</v>
      </c>
      <c r="L40" s="5" t="str">
        <f>LibraryTable3[[#This Row],[Part Number]]</f>
        <v>LM5158RTER</v>
      </c>
      <c r="M40" s="5" t="str">
        <f t="shared" ref="M40" si="3">L40</f>
        <v>LM5158RTER</v>
      </c>
    </row>
  </sheetData>
  <conditionalFormatting sqref="K2:K30">
    <cfRule type="containsBlanks" priority="2"/>
  </conditionalFormatting>
  <conditionalFormatting sqref="K35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5"/>
  <sheetViews>
    <sheetView showGridLines="0" workbookViewId="0">
      <selection activeCell="G15" sqref="G15"/>
    </sheetView>
  </sheetViews>
  <sheetFormatPr defaultRowHeight="15.75" x14ac:dyDescent="0.25"/>
  <cols>
    <col min="1" max="1" width="43.5" style="2" customWidth="1"/>
    <col min="2" max="2" width="51.125" style="2" customWidth="1"/>
    <col min="3" max="3" width="13.75" style="2" customWidth="1"/>
    <col min="4" max="4" width="11.625" style="2" customWidth="1"/>
    <col min="5" max="5" width="18.125" style="2" customWidth="1"/>
    <col min="6" max="6" width="38.625" style="2" customWidth="1"/>
    <col min="7" max="7" width="18.375" style="2" customWidth="1"/>
    <col min="8" max="8" width="25.875" style="2" customWidth="1"/>
    <col min="9" max="9" width="12.375" style="2" customWidth="1"/>
    <col min="10" max="10" width="17.125" style="2" customWidth="1"/>
    <col min="11" max="11" width="16.5" style="2" customWidth="1"/>
    <col min="12" max="16384" width="9" style="2"/>
  </cols>
  <sheetData>
    <row r="1" spans="1:11" x14ac:dyDescent="0.25">
      <c r="A1" s="10" t="s">
        <v>0</v>
      </c>
      <c r="B1" s="10" t="s">
        <v>1</v>
      </c>
      <c r="C1" s="10" t="s">
        <v>2</v>
      </c>
      <c r="D1" s="10" t="s">
        <v>3</v>
      </c>
      <c r="E1" s="10" t="s">
        <v>1070</v>
      </c>
      <c r="F1" s="10" t="s">
        <v>9</v>
      </c>
      <c r="G1" s="10" t="s">
        <v>10</v>
      </c>
      <c r="H1" s="10" t="s">
        <v>156</v>
      </c>
      <c r="I1" s="10" t="s">
        <v>157</v>
      </c>
      <c r="J1" s="19" t="s">
        <v>15</v>
      </c>
      <c r="K1" s="23" t="s">
        <v>158</v>
      </c>
    </row>
    <row r="2" spans="1:11" x14ac:dyDescent="0.25">
      <c r="A2" s="2" t="s">
        <v>1071</v>
      </c>
      <c r="B2" s="2" t="s">
        <v>1072</v>
      </c>
      <c r="C2" s="2" t="s">
        <v>1073</v>
      </c>
      <c r="D2" s="2" t="s">
        <v>1074</v>
      </c>
      <c r="E2" s="2" t="s">
        <v>1075</v>
      </c>
      <c r="F2" s="10" t="s">
        <v>1076</v>
      </c>
      <c r="G2" s="2" t="s">
        <v>1071</v>
      </c>
      <c r="H2" s="2" t="s">
        <v>166</v>
      </c>
      <c r="I2" s="5" t="s">
        <v>1074</v>
      </c>
      <c r="J2" s="2" t="str">
        <f>A2</f>
        <v>SI53340-B-GM</v>
      </c>
      <c r="K2" s="2" t="str">
        <f t="shared" ref="K2:K7" si="0">J2</f>
        <v>SI53340-B-GM</v>
      </c>
    </row>
    <row r="3" spans="1:11" x14ac:dyDescent="0.25">
      <c r="A3" s="2" t="s">
        <v>1077</v>
      </c>
      <c r="B3" s="2" t="s">
        <v>1078</v>
      </c>
      <c r="C3" s="2" t="s">
        <v>198</v>
      </c>
      <c r="D3" s="2" t="s">
        <v>1079</v>
      </c>
      <c r="E3" s="2" t="s">
        <v>1075</v>
      </c>
      <c r="F3" s="10" t="s">
        <v>1076</v>
      </c>
      <c r="G3" s="2" t="s">
        <v>1077</v>
      </c>
      <c r="H3" s="2" t="s">
        <v>166</v>
      </c>
      <c r="I3" s="5"/>
      <c r="J3" s="2" t="str">
        <f t="shared" ref="J3:J7" si="1">A3</f>
        <v>LMK04828BISQ</v>
      </c>
      <c r="K3" s="2" t="str">
        <f t="shared" si="0"/>
        <v>LMK04828BISQ</v>
      </c>
    </row>
    <row r="4" spans="1:11" x14ac:dyDescent="0.25">
      <c r="A4" s="2" t="s">
        <v>1080</v>
      </c>
      <c r="B4" s="2" t="s">
        <v>1081</v>
      </c>
      <c r="C4" s="2" t="s">
        <v>1082</v>
      </c>
      <c r="D4" s="2" t="s">
        <v>1083</v>
      </c>
      <c r="E4" s="2" t="s">
        <v>1075</v>
      </c>
      <c r="F4" s="10" t="s">
        <v>1076</v>
      </c>
      <c r="G4" s="2" t="s">
        <v>1080</v>
      </c>
      <c r="H4" s="2" t="s">
        <v>166</v>
      </c>
      <c r="I4" s="5"/>
      <c r="J4" s="2" t="str">
        <f t="shared" si="1"/>
        <v>CVHD-950-100.000</v>
      </c>
      <c r="K4" s="2" t="str">
        <f t="shared" si="0"/>
        <v>CVHD-950-100.000</v>
      </c>
    </row>
    <row r="5" spans="1:11" x14ac:dyDescent="0.25">
      <c r="A5" s="2" t="s">
        <v>1084</v>
      </c>
      <c r="B5" s="2" t="s">
        <v>1085</v>
      </c>
      <c r="C5" s="2" t="s">
        <v>198</v>
      </c>
      <c r="D5" s="2" t="s">
        <v>1086</v>
      </c>
      <c r="F5" s="10" t="s">
        <v>1087</v>
      </c>
      <c r="G5" s="2" t="s">
        <v>1084</v>
      </c>
      <c r="H5" s="2" t="s">
        <v>166</v>
      </c>
      <c r="I5" s="5" t="s">
        <v>1086</v>
      </c>
      <c r="J5" s="2" t="str">
        <f t="shared" si="1"/>
        <v>TPD4S012</v>
      </c>
      <c r="K5" s="2" t="str">
        <f t="shared" si="0"/>
        <v>TPD4S012</v>
      </c>
    </row>
    <row r="6" spans="1:11" x14ac:dyDescent="0.25">
      <c r="A6" s="2" t="s">
        <v>1088</v>
      </c>
      <c r="B6" s="2" t="s">
        <v>1089</v>
      </c>
      <c r="C6" s="2" t="s">
        <v>1090</v>
      </c>
      <c r="D6" s="2" t="s">
        <v>1083</v>
      </c>
      <c r="F6" s="10" t="s">
        <v>1076</v>
      </c>
      <c r="G6" s="2" t="s">
        <v>1088</v>
      </c>
      <c r="H6" s="2" t="s">
        <v>166</v>
      </c>
      <c r="I6" s="5"/>
      <c r="J6" s="2" t="str">
        <f t="shared" si="1"/>
        <v>7B-25.000MAAJ-T</v>
      </c>
      <c r="K6" s="2" t="str">
        <f t="shared" si="0"/>
        <v>7B-25.000MAAJ-T</v>
      </c>
    </row>
    <row r="7" spans="1:11" x14ac:dyDescent="0.25">
      <c r="A7" s="2" t="s">
        <v>1091</v>
      </c>
      <c r="B7" s="2" t="s">
        <v>1092</v>
      </c>
      <c r="C7" s="2" t="s">
        <v>1093</v>
      </c>
      <c r="D7" s="2" t="s">
        <v>895</v>
      </c>
      <c r="E7" s="2" t="s">
        <v>1075</v>
      </c>
      <c r="F7" s="10" t="s">
        <v>1076</v>
      </c>
      <c r="G7" s="2" t="s">
        <v>1091</v>
      </c>
      <c r="H7" s="2" t="s">
        <v>166</v>
      </c>
      <c r="I7" s="5"/>
      <c r="J7" s="2" t="str">
        <f t="shared" si="1"/>
        <v>ASGTX-C-122.880MHZ-1</v>
      </c>
      <c r="K7" s="2" t="str">
        <f t="shared" si="0"/>
        <v>ASGTX-C-122.880MHZ-1</v>
      </c>
    </row>
    <row r="8" spans="1:11" x14ac:dyDescent="0.25">
      <c r="A8" s="2" t="s">
        <v>1094</v>
      </c>
      <c r="B8" s="2" t="s">
        <v>1095</v>
      </c>
      <c r="C8" s="2" t="s">
        <v>1093</v>
      </c>
      <c r="D8" s="2" t="s">
        <v>895</v>
      </c>
      <c r="E8" s="2" t="s">
        <v>1075</v>
      </c>
      <c r="F8" s="10" t="s">
        <v>1076</v>
      </c>
      <c r="G8" s="2" t="s">
        <v>1091</v>
      </c>
      <c r="H8" s="2" t="s">
        <v>166</v>
      </c>
      <c r="I8" s="5"/>
      <c r="J8" s="2" t="str">
        <f t="shared" ref="J8:J15" si="2">A8</f>
        <v>ASGTX-C-120.00MHZ-1</v>
      </c>
      <c r="K8" s="2" t="str">
        <f t="shared" ref="K8:K15" si="3">J8</f>
        <v>ASGTX-C-120.00MHZ-1</v>
      </c>
    </row>
    <row r="9" spans="1:11" x14ac:dyDescent="0.25">
      <c r="A9" s="2" t="s">
        <v>1096</v>
      </c>
      <c r="B9" s="2" t="s">
        <v>1097</v>
      </c>
      <c r="C9" s="2" t="s">
        <v>1098</v>
      </c>
      <c r="D9" s="2" t="s">
        <v>1099</v>
      </c>
      <c r="E9" s="2" t="s">
        <v>1075</v>
      </c>
      <c r="F9" s="10" t="s">
        <v>1076</v>
      </c>
      <c r="G9" s="2" t="s">
        <v>1100</v>
      </c>
      <c r="H9" s="2" t="s">
        <v>166</v>
      </c>
      <c r="I9" s="5" t="s">
        <v>1101</v>
      </c>
      <c r="J9" s="2" t="str">
        <f t="shared" si="2"/>
        <v>SIT5357AI-FQ-33N0-100.000000X</v>
      </c>
      <c r="K9" s="2" t="str">
        <f t="shared" si="3"/>
        <v>SIT5357AI-FQ-33N0-100.000000X</v>
      </c>
    </row>
    <row r="10" spans="1:11" x14ac:dyDescent="0.25">
      <c r="A10" s="2" t="s">
        <v>1102</v>
      </c>
      <c r="B10" s="2" t="s">
        <v>1103</v>
      </c>
      <c r="C10" s="2" t="s">
        <v>1073</v>
      </c>
      <c r="D10" s="2" t="s">
        <v>1074</v>
      </c>
      <c r="E10" s="2" t="s">
        <v>1104</v>
      </c>
      <c r="F10" s="10" t="s">
        <v>1076</v>
      </c>
      <c r="G10" s="2" t="s">
        <v>1105</v>
      </c>
      <c r="H10" s="2" t="s">
        <v>166</v>
      </c>
      <c r="I10" s="5" t="s">
        <v>1106</v>
      </c>
      <c r="J10" s="2" t="str">
        <f t="shared" si="2"/>
        <v>Si53306-B-GM</v>
      </c>
      <c r="K10" s="2" t="str">
        <f t="shared" si="3"/>
        <v>Si53306-B-GM</v>
      </c>
    </row>
    <row r="11" spans="1:11" x14ac:dyDescent="0.25">
      <c r="A11" s="2" t="s">
        <v>1107</v>
      </c>
      <c r="B11" t="s">
        <v>1108</v>
      </c>
      <c r="C11" s="2" t="s">
        <v>160</v>
      </c>
      <c r="D11" s="2" t="s">
        <v>184</v>
      </c>
      <c r="F11" s="10" t="s">
        <v>1109</v>
      </c>
      <c r="G11" s="2" t="s">
        <v>1107</v>
      </c>
      <c r="H11" s="2" t="s">
        <v>166</v>
      </c>
      <c r="I11" s="5" t="s">
        <v>1110</v>
      </c>
      <c r="J11" s="2" t="str">
        <f t="shared" si="2"/>
        <v>ADA4930-1</v>
      </c>
      <c r="K11" s="2" t="str">
        <f t="shared" si="3"/>
        <v>ADA4930-1</v>
      </c>
    </row>
    <row r="12" spans="1:11" x14ac:dyDescent="0.25">
      <c r="A12" s="2" t="s">
        <v>1111</v>
      </c>
      <c r="B12" s="2" t="s">
        <v>1112</v>
      </c>
      <c r="C12" s="2" t="s">
        <v>160</v>
      </c>
      <c r="D12" s="2" t="s">
        <v>1113</v>
      </c>
      <c r="E12" s="2" t="s">
        <v>1075</v>
      </c>
      <c r="F12" s="10" t="s">
        <v>1087</v>
      </c>
      <c r="G12" s="2" t="s">
        <v>1114</v>
      </c>
      <c r="H12" s="2" t="s">
        <v>166</v>
      </c>
      <c r="I12" s="33" t="s">
        <v>181</v>
      </c>
      <c r="J12" s="2" t="str">
        <f t="shared" si="2"/>
        <v>INA293A2</v>
      </c>
      <c r="K12" s="2" t="str">
        <f t="shared" si="3"/>
        <v>INA293A2</v>
      </c>
    </row>
    <row r="13" spans="1:11" x14ac:dyDescent="0.25">
      <c r="A13" s="33" t="s">
        <v>1330</v>
      </c>
      <c r="B13" s="2" t="s">
        <v>1331</v>
      </c>
      <c r="C13" s="5" t="s">
        <v>198</v>
      </c>
      <c r="D13" s="33" t="s">
        <v>1163</v>
      </c>
      <c r="E13" s="33" t="s">
        <v>1332</v>
      </c>
      <c r="F13" s="10" t="s">
        <v>1109</v>
      </c>
      <c r="G13" s="33" t="s">
        <v>1330</v>
      </c>
      <c r="H13" s="5" t="s">
        <v>166</v>
      </c>
      <c r="I13" s="33" t="s">
        <v>1163</v>
      </c>
      <c r="J13" s="5" t="str">
        <f t="shared" si="2"/>
        <v>OPA4197</v>
      </c>
      <c r="K13" s="5" t="str">
        <f t="shared" si="3"/>
        <v>OPA4197</v>
      </c>
    </row>
    <row r="14" spans="1:11" x14ac:dyDescent="0.25">
      <c r="A14" s="44" t="s">
        <v>1558</v>
      </c>
      <c r="B14" s="2" t="s">
        <v>1559</v>
      </c>
      <c r="C14" s="5" t="s">
        <v>198</v>
      </c>
      <c r="D14" s="44" t="s">
        <v>253</v>
      </c>
      <c r="E14" s="33" t="s">
        <v>1332</v>
      </c>
      <c r="F14" s="10" t="s">
        <v>1109</v>
      </c>
      <c r="G14" s="33" t="s">
        <v>1558</v>
      </c>
      <c r="H14" s="5" t="s">
        <v>166</v>
      </c>
      <c r="I14" s="44" t="s">
        <v>181</v>
      </c>
      <c r="J14" s="5" t="str">
        <f t="shared" si="2"/>
        <v>OPA197IDBV</v>
      </c>
      <c r="K14" s="5" t="str">
        <f t="shared" si="3"/>
        <v>OPA197IDBV</v>
      </c>
    </row>
    <row r="15" spans="1:11" x14ac:dyDescent="0.25">
      <c r="A15" s="2" t="s">
        <v>1586</v>
      </c>
      <c r="B15" s="2" t="s">
        <v>1587</v>
      </c>
      <c r="C15" s="5" t="s">
        <v>198</v>
      </c>
      <c r="D15" s="44" t="s">
        <v>1588</v>
      </c>
      <c r="E15" s="44" t="s">
        <v>1589</v>
      </c>
      <c r="F15" s="10" t="s">
        <v>1087</v>
      </c>
      <c r="G15" s="5" t="s">
        <v>1586</v>
      </c>
      <c r="H15" s="5" t="s">
        <v>166</v>
      </c>
      <c r="I15" s="44" t="s">
        <v>204</v>
      </c>
      <c r="J15" s="5" t="str">
        <f t="shared" si="2"/>
        <v>TPS3711DDC</v>
      </c>
      <c r="K15" s="5" t="str">
        <f t="shared" si="3"/>
        <v>TPS3711DDC</v>
      </c>
    </row>
  </sheetData>
  <conditionalFormatting sqref="I2:I12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37"/>
  <sheetViews>
    <sheetView showGridLines="0" topLeftCell="B19" workbookViewId="0">
      <selection activeCell="I40" sqref="I40"/>
    </sheetView>
  </sheetViews>
  <sheetFormatPr defaultRowHeight="15.75" x14ac:dyDescent="0.25"/>
  <cols>
    <col min="1" max="1" width="23" style="2" customWidth="1"/>
    <col min="2" max="2" width="85.75" style="2" customWidth="1"/>
    <col min="3" max="3" width="26.25" style="2" customWidth="1"/>
    <col min="4" max="4" width="42.5" style="2" customWidth="1"/>
    <col min="5" max="5" width="16.5" style="2" customWidth="1"/>
    <col min="6" max="6" width="32.625" style="2" customWidth="1"/>
    <col min="7" max="7" width="17.75" style="2" customWidth="1"/>
    <col min="8" max="8" width="20.25" style="2" customWidth="1"/>
    <col min="9" max="9" width="14.375" style="2" customWidth="1"/>
    <col min="10" max="11" width="19.75" style="2" customWidth="1"/>
    <col min="12" max="16384" width="9" style="2"/>
  </cols>
  <sheetData>
    <row r="1" spans="1:11" x14ac:dyDescent="0.25">
      <c r="A1" s="10" t="s">
        <v>0</v>
      </c>
      <c r="B1" s="10" t="s">
        <v>1</v>
      </c>
      <c r="C1" s="10" t="s">
        <v>2</v>
      </c>
      <c r="D1" s="10" t="s">
        <v>8</v>
      </c>
      <c r="E1" s="10" t="s">
        <v>3</v>
      </c>
      <c r="F1" s="10" t="s">
        <v>9</v>
      </c>
      <c r="G1" s="10" t="s">
        <v>10</v>
      </c>
      <c r="H1" s="10" t="s">
        <v>156</v>
      </c>
      <c r="I1" s="10" t="s">
        <v>157</v>
      </c>
      <c r="J1" s="19" t="s">
        <v>15</v>
      </c>
      <c r="K1" s="23" t="s">
        <v>158</v>
      </c>
    </row>
    <row r="2" spans="1:11" x14ac:dyDescent="0.25">
      <c r="A2" s="2" t="s">
        <v>1121</v>
      </c>
      <c r="B2" s="2" t="s">
        <v>1122</v>
      </c>
      <c r="C2" s="2" t="s">
        <v>198</v>
      </c>
      <c r="D2" s="2" t="s">
        <v>1123</v>
      </c>
      <c r="E2" s="2" t="s">
        <v>1124</v>
      </c>
      <c r="F2" s="10" t="s">
        <v>1119</v>
      </c>
      <c r="G2" s="2" t="s">
        <v>1121</v>
      </c>
      <c r="H2" s="2" t="s">
        <v>166</v>
      </c>
      <c r="I2" s="6" t="s">
        <v>1124</v>
      </c>
      <c r="J2" s="2" t="str">
        <f t="shared" ref="J2:J37" si="0">A2</f>
        <v>SN74AVC4T245RSVR</v>
      </c>
      <c r="K2" s="2" t="str">
        <f t="shared" ref="K2:K37" si="1">J2</f>
        <v>SN74AVC4T245RSVR</v>
      </c>
    </row>
    <row r="3" spans="1:11" x14ac:dyDescent="0.25">
      <c r="A3" s="2" t="s">
        <v>1125</v>
      </c>
      <c r="B3" s="2" t="s">
        <v>1126</v>
      </c>
      <c r="C3" s="2" t="s">
        <v>198</v>
      </c>
      <c r="D3" s="2" t="s">
        <v>1123</v>
      </c>
      <c r="E3" s="2" t="s">
        <v>1127</v>
      </c>
      <c r="F3" s="10" t="s">
        <v>1119</v>
      </c>
      <c r="G3" s="2" t="s">
        <v>1125</v>
      </c>
      <c r="H3" s="2" t="s">
        <v>166</v>
      </c>
      <c r="I3" s="6" t="s">
        <v>1127</v>
      </c>
      <c r="J3" s="2" t="str">
        <f t="shared" si="0"/>
        <v>SN74AVC2T245RSW</v>
      </c>
      <c r="K3" s="2" t="str">
        <f t="shared" si="1"/>
        <v>SN74AVC2T245RSW</v>
      </c>
    </row>
    <row r="4" spans="1:11" x14ac:dyDescent="0.25">
      <c r="A4" s="2" t="s">
        <v>1252</v>
      </c>
      <c r="B4" t="s">
        <v>1168</v>
      </c>
      <c r="C4" s="2" t="s">
        <v>198</v>
      </c>
      <c r="D4" s="2" t="s">
        <v>1123</v>
      </c>
      <c r="E4" s="2" t="s">
        <v>1169</v>
      </c>
      <c r="F4" s="10" t="s">
        <v>1119</v>
      </c>
      <c r="G4" s="2" t="s">
        <v>1170</v>
      </c>
      <c r="H4" s="2" t="s">
        <v>166</v>
      </c>
      <c r="I4" s="5" t="s">
        <v>1169</v>
      </c>
      <c r="J4" s="2" t="str">
        <f t="shared" si="0"/>
        <v>SN74LVC8T245RHL</v>
      </c>
      <c r="K4" s="2" t="str">
        <f t="shared" si="1"/>
        <v>SN74LVC8T245RHL</v>
      </c>
    </row>
    <row r="5" spans="1:11" x14ac:dyDescent="0.25">
      <c r="A5" s="2" t="s">
        <v>1187</v>
      </c>
      <c r="B5" s="2" t="s">
        <v>1188</v>
      </c>
      <c r="C5" s="2" t="s">
        <v>198</v>
      </c>
      <c r="D5" s="2" t="s">
        <v>1123</v>
      </c>
      <c r="E5" s="2" t="s">
        <v>1124</v>
      </c>
      <c r="F5" s="10" t="s">
        <v>1119</v>
      </c>
      <c r="G5" s="2" t="s">
        <v>1189</v>
      </c>
      <c r="H5" s="2" t="s">
        <v>166</v>
      </c>
      <c r="I5" s="5" t="s">
        <v>1124</v>
      </c>
      <c r="J5" s="2" t="str">
        <f t="shared" si="0"/>
        <v>SN74AXC4T774RSV</v>
      </c>
      <c r="K5" s="2" t="str">
        <f t="shared" si="1"/>
        <v>SN74AXC4T774RSV</v>
      </c>
    </row>
    <row r="6" spans="1:11" x14ac:dyDescent="0.25">
      <c r="A6" s="2" t="s">
        <v>1128</v>
      </c>
      <c r="B6" s="2" t="s">
        <v>1129</v>
      </c>
      <c r="C6" s="2" t="s">
        <v>1130</v>
      </c>
      <c r="D6" s="2" t="s">
        <v>1131</v>
      </c>
      <c r="E6" s="2" t="s">
        <v>1132</v>
      </c>
      <c r="F6" s="10" t="s">
        <v>1119</v>
      </c>
      <c r="G6" s="2" t="s">
        <v>1128</v>
      </c>
      <c r="H6" s="2" t="s">
        <v>166</v>
      </c>
      <c r="I6" s="5" t="s">
        <v>1133</v>
      </c>
      <c r="J6" s="2" t="str">
        <f t="shared" si="0"/>
        <v>FT4232HL</v>
      </c>
      <c r="K6" s="2" t="str">
        <f t="shared" si="1"/>
        <v>FT4232HL</v>
      </c>
    </row>
    <row r="7" spans="1:11" x14ac:dyDescent="0.25">
      <c r="A7" s="2" t="s">
        <v>1143</v>
      </c>
      <c r="B7" s="5" t="s">
        <v>1144</v>
      </c>
      <c r="C7" s="2" t="s">
        <v>198</v>
      </c>
      <c r="D7" s="2" t="s">
        <v>1131</v>
      </c>
      <c r="E7" s="2" t="s">
        <v>1145</v>
      </c>
      <c r="F7" s="10" t="s">
        <v>1119</v>
      </c>
      <c r="G7" s="2" t="s">
        <v>1143</v>
      </c>
      <c r="H7" s="2" t="s">
        <v>166</v>
      </c>
      <c r="I7" s="5"/>
      <c r="J7" s="2" t="str">
        <f t="shared" si="0"/>
        <v>DP83867ISRGZ</v>
      </c>
      <c r="K7" s="2" t="str">
        <f t="shared" si="1"/>
        <v>DP83867ISRGZ</v>
      </c>
    </row>
    <row r="8" spans="1:11" x14ac:dyDescent="0.25">
      <c r="A8" s="2" t="s">
        <v>1146</v>
      </c>
      <c r="B8" s="2" t="s">
        <v>1147</v>
      </c>
      <c r="C8" s="2" t="s">
        <v>160</v>
      </c>
      <c r="D8" s="2" t="s">
        <v>1131</v>
      </c>
      <c r="E8" s="2" t="s">
        <v>1142</v>
      </c>
      <c r="F8" s="10" t="s">
        <v>1119</v>
      </c>
      <c r="G8" s="2" t="s">
        <v>1148</v>
      </c>
      <c r="H8" s="2" t="s">
        <v>166</v>
      </c>
      <c r="I8" s="6" t="s">
        <v>1142</v>
      </c>
      <c r="J8" s="2" t="str">
        <f t="shared" si="0"/>
        <v>MAX3485CSA</v>
      </c>
      <c r="K8" s="2" t="str">
        <f t="shared" si="1"/>
        <v>MAX3485CSA</v>
      </c>
    </row>
    <row r="9" spans="1:11" x14ac:dyDescent="0.25">
      <c r="A9" s="2" t="s">
        <v>1158</v>
      </c>
      <c r="B9" s="2" t="s">
        <v>1159</v>
      </c>
      <c r="C9" s="2" t="s">
        <v>198</v>
      </c>
      <c r="D9" s="2" t="s">
        <v>1131</v>
      </c>
      <c r="E9" s="2" t="s">
        <v>1113</v>
      </c>
      <c r="F9" s="10" t="s">
        <v>1119</v>
      </c>
      <c r="G9" s="2" t="s">
        <v>1160</v>
      </c>
      <c r="H9" s="2" t="s">
        <v>166</v>
      </c>
      <c r="I9" s="5" t="s">
        <v>181</v>
      </c>
      <c r="J9" s="2" t="str">
        <f t="shared" si="0"/>
        <v>SN65LVDS1DBVR</v>
      </c>
      <c r="K9" s="2" t="str">
        <f t="shared" si="1"/>
        <v>SN65LVDS1DBVR</v>
      </c>
    </row>
    <row r="10" spans="1:11" x14ac:dyDescent="0.25">
      <c r="A10" s="2" t="s">
        <v>1177</v>
      </c>
      <c r="B10" s="2" t="s">
        <v>1178</v>
      </c>
      <c r="C10" s="2" t="s">
        <v>198</v>
      </c>
      <c r="D10" s="2" t="s">
        <v>1131</v>
      </c>
      <c r="E10" s="2" t="s">
        <v>1113</v>
      </c>
      <c r="F10" s="10" t="s">
        <v>1119</v>
      </c>
      <c r="G10" s="2" t="s">
        <v>1160</v>
      </c>
      <c r="H10" s="2" t="s">
        <v>166</v>
      </c>
      <c r="I10" s="5" t="s">
        <v>181</v>
      </c>
      <c r="J10" s="2" t="str">
        <f t="shared" si="0"/>
        <v>SN65LVDT2DBV</v>
      </c>
      <c r="K10" s="2" t="str">
        <f t="shared" si="1"/>
        <v>SN65LVDT2DBV</v>
      </c>
    </row>
    <row r="11" spans="1:11" x14ac:dyDescent="0.25">
      <c r="A11" s="2" t="s">
        <v>1179</v>
      </c>
      <c r="B11" s="2" t="s">
        <v>1180</v>
      </c>
      <c r="C11" s="2" t="s">
        <v>198</v>
      </c>
      <c r="D11" s="2" t="s">
        <v>1131</v>
      </c>
      <c r="E11" s="2" t="s">
        <v>1127</v>
      </c>
      <c r="F11" s="10" t="s">
        <v>1119</v>
      </c>
      <c r="G11" s="2" t="s">
        <v>1181</v>
      </c>
      <c r="H11" s="2" t="s">
        <v>166</v>
      </c>
      <c r="I11" s="5" t="s">
        <v>1127</v>
      </c>
      <c r="J11" s="2" t="str">
        <f t="shared" si="0"/>
        <v>SN65LVDS4RSE</v>
      </c>
      <c r="K11" s="2" t="str">
        <f t="shared" si="1"/>
        <v>SN65LVDS4RSE</v>
      </c>
    </row>
    <row r="12" spans="1:11" x14ac:dyDescent="0.25">
      <c r="A12" s="2" t="s">
        <v>1198</v>
      </c>
      <c r="B12" s="2" t="s">
        <v>1199</v>
      </c>
      <c r="C12" s="2" t="s">
        <v>160</v>
      </c>
      <c r="D12" s="2" t="s">
        <v>1131</v>
      </c>
      <c r="E12" s="2" t="s">
        <v>1197</v>
      </c>
      <c r="F12" s="10" t="s">
        <v>1119</v>
      </c>
      <c r="G12" s="2" t="s">
        <v>1198</v>
      </c>
      <c r="H12" s="2" t="s">
        <v>166</v>
      </c>
      <c r="I12" s="5" t="s">
        <v>1197</v>
      </c>
      <c r="J12" s="2" t="str">
        <f t="shared" si="0"/>
        <v>LTC2875HS8</v>
      </c>
      <c r="K12" s="2" t="str">
        <f t="shared" si="1"/>
        <v>LTC2875HS8</v>
      </c>
    </row>
    <row r="13" spans="1:11" x14ac:dyDescent="0.25">
      <c r="A13" s="2" t="s">
        <v>1182</v>
      </c>
      <c r="B13" s="2" t="s">
        <v>1183</v>
      </c>
      <c r="C13" s="2" t="s">
        <v>160</v>
      </c>
      <c r="D13" s="2" t="s">
        <v>1184</v>
      </c>
      <c r="E13" s="2" t="s">
        <v>1185</v>
      </c>
      <c r="F13" s="10" t="s">
        <v>1119</v>
      </c>
      <c r="G13" s="2" t="s">
        <v>1186</v>
      </c>
      <c r="H13" s="2" t="s">
        <v>166</v>
      </c>
      <c r="I13" s="5" t="s">
        <v>1185</v>
      </c>
      <c r="J13" s="2" t="str">
        <f t="shared" si="0"/>
        <v>AD9717BCPZ</v>
      </c>
      <c r="K13" s="2" t="str">
        <f t="shared" si="1"/>
        <v>AD9717BCPZ</v>
      </c>
    </row>
    <row r="14" spans="1:11" x14ac:dyDescent="0.25">
      <c r="A14" s="2" t="s">
        <v>1190</v>
      </c>
      <c r="B14" s="2" t="s">
        <v>1191</v>
      </c>
      <c r="C14" s="2" t="s">
        <v>1192</v>
      </c>
      <c r="D14" s="2" t="s">
        <v>1193</v>
      </c>
      <c r="E14" s="2" t="s">
        <v>1118</v>
      </c>
      <c r="F14" s="10" t="s">
        <v>1119</v>
      </c>
      <c r="G14" s="2" t="s">
        <v>1190</v>
      </c>
      <c r="H14" s="2" t="s">
        <v>166</v>
      </c>
      <c r="I14" s="5" t="s">
        <v>1118</v>
      </c>
      <c r="J14" s="2" t="str">
        <f t="shared" si="0"/>
        <v>ICM-20948</v>
      </c>
      <c r="K14" s="2" t="str">
        <f t="shared" si="1"/>
        <v>ICM-20948</v>
      </c>
    </row>
    <row r="15" spans="1:11" x14ac:dyDescent="0.25">
      <c r="A15" s="2" t="s">
        <v>1025</v>
      </c>
      <c r="B15" s="2" t="s">
        <v>1200</v>
      </c>
      <c r="C15" s="2" t="s">
        <v>1027</v>
      </c>
      <c r="D15" s="2" t="s">
        <v>1193</v>
      </c>
      <c r="E15" s="2" t="s">
        <v>1028</v>
      </c>
      <c r="F15" s="10" t="s">
        <v>1119</v>
      </c>
      <c r="G15" s="2" t="s">
        <v>1201</v>
      </c>
      <c r="H15" s="2" t="s">
        <v>166</v>
      </c>
      <c r="I15" s="5" t="s">
        <v>1028</v>
      </c>
      <c r="J15" s="2" t="str">
        <f t="shared" si="0"/>
        <v>LSM6DS3TR-C</v>
      </c>
      <c r="K15" s="2" t="str">
        <f t="shared" si="1"/>
        <v>LSM6DS3TR-C</v>
      </c>
    </row>
    <row r="16" spans="1:11" x14ac:dyDescent="0.25">
      <c r="A16" s="2" t="s">
        <v>1202</v>
      </c>
      <c r="B16" s="5" t="s">
        <v>1203</v>
      </c>
      <c r="C16" s="2" t="s">
        <v>1027</v>
      </c>
      <c r="D16" s="2" t="s">
        <v>1193</v>
      </c>
      <c r="E16" s="2" t="s">
        <v>1204</v>
      </c>
      <c r="F16" s="10" t="s">
        <v>1119</v>
      </c>
      <c r="G16" s="2" t="s">
        <v>1202</v>
      </c>
      <c r="H16" s="2" t="s">
        <v>166</v>
      </c>
      <c r="I16" s="5" t="s">
        <v>1204</v>
      </c>
      <c r="J16" s="2" t="str">
        <f t="shared" si="0"/>
        <v>LIS3MDL</v>
      </c>
      <c r="K16" s="2" t="str">
        <f t="shared" si="1"/>
        <v>LIS3MDL</v>
      </c>
    </row>
    <row r="17" spans="1:11" x14ac:dyDescent="0.25">
      <c r="A17" s="2" t="s">
        <v>1149</v>
      </c>
      <c r="B17" s="2" t="s">
        <v>1150</v>
      </c>
      <c r="C17" s="2" t="s">
        <v>198</v>
      </c>
      <c r="D17" s="2" t="s">
        <v>1151</v>
      </c>
      <c r="E17" s="2" t="s">
        <v>1113</v>
      </c>
      <c r="F17" s="10" t="s">
        <v>1119</v>
      </c>
      <c r="G17" s="2" t="s">
        <v>1149</v>
      </c>
      <c r="H17" s="2" t="s">
        <v>166</v>
      </c>
      <c r="I17" s="5" t="s">
        <v>181</v>
      </c>
      <c r="J17" s="2" t="str">
        <f t="shared" si="0"/>
        <v>SN74LVC1G14DBVT</v>
      </c>
      <c r="K17" s="2" t="str">
        <f t="shared" si="1"/>
        <v>SN74LVC1G14DBVT</v>
      </c>
    </row>
    <row r="18" spans="1:11" x14ac:dyDescent="0.25">
      <c r="A18" s="2" t="s">
        <v>1152</v>
      </c>
      <c r="B18" s="2" t="s">
        <v>1153</v>
      </c>
      <c r="C18" s="2" t="s">
        <v>198</v>
      </c>
      <c r="D18" s="2" t="s">
        <v>1151</v>
      </c>
      <c r="E18" s="2" t="s">
        <v>1113</v>
      </c>
      <c r="F18" s="10" t="s">
        <v>1119</v>
      </c>
      <c r="G18" s="2" t="s">
        <v>1152</v>
      </c>
      <c r="H18" s="2" t="s">
        <v>166</v>
      </c>
      <c r="I18" s="5" t="s">
        <v>181</v>
      </c>
      <c r="J18" s="2" t="str">
        <f t="shared" si="0"/>
        <v>SN74LVC1G17DBVT</v>
      </c>
      <c r="K18" s="2" t="str">
        <f t="shared" si="1"/>
        <v>SN74LVC1G17DBVT</v>
      </c>
    </row>
    <row r="19" spans="1:11" x14ac:dyDescent="0.25">
      <c r="A19" s="2" t="s">
        <v>1161</v>
      </c>
      <c r="B19" s="2" t="s">
        <v>1162</v>
      </c>
      <c r="C19" s="2" t="s">
        <v>198</v>
      </c>
      <c r="D19" s="2" t="s">
        <v>1151</v>
      </c>
      <c r="E19" s="2" t="s">
        <v>1163</v>
      </c>
      <c r="F19" s="10" t="s">
        <v>1119</v>
      </c>
      <c r="G19" s="2" t="s">
        <v>1164</v>
      </c>
      <c r="H19" s="2" t="s">
        <v>166</v>
      </c>
      <c r="I19" s="5" t="s">
        <v>1163</v>
      </c>
      <c r="J19" s="2" t="str">
        <f t="shared" si="0"/>
        <v>SN74ACT04PWR</v>
      </c>
      <c r="K19" s="2" t="str">
        <f t="shared" si="1"/>
        <v>SN74ACT04PWR</v>
      </c>
    </row>
    <row r="20" spans="1:11" x14ac:dyDescent="0.25">
      <c r="A20" s="2" t="s">
        <v>1165</v>
      </c>
      <c r="B20" s="2" t="s">
        <v>1166</v>
      </c>
      <c r="C20" s="2" t="s">
        <v>198</v>
      </c>
      <c r="D20" s="2" t="s">
        <v>1151</v>
      </c>
      <c r="E20" s="2" t="s">
        <v>1163</v>
      </c>
      <c r="F20" s="10" t="s">
        <v>1119</v>
      </c>
      <c r="G20" s="2" t="s">
        <v>1167</v>
      </c>
      <c r="H20" s="2" t="s">
        <v>166</v>
      </c>
      <c r="I20" s="5" t="s">
        <v>1163</v>
      </c>
      <c r="J20" s="2" t="str">
        <f t="shared" si="0"/>
        <v>SN74ACT17PWR</v>
      </c>
      <c r="K20" s="2" t="str">
        <f t="shared" si="1"/>
        <v>SN74ACT17PWR</v>
      </c>
    </row>
    <row r="21" spans="1:11" x14ac:dyDescent="0.25">
      <c r="A21" s="2" t="s">
        <v>1171</v>
      </c>
      <c r="B21" s="2" t="s">
        <v>1172</v>
      </c>
      <c r="C21" s="2" t="s">
        <v>198</v>
      </c>
      <c r="D21" s="2" t="s">
        <v>1151</v>
      </c>
      <c r="E21" s="2" t="s">
        <v>1156</v>
      </c>
      <c r="F21" s="10" t="s">
        <v>1119</v>
      </c>
      <c r="G21" s="2" t="s">
        <v>1173</v>
      </c>
      <c r="H21" s="2" t="s">
        <v>166</v>
      </c>
      <c r="I21" s="5" t="s">
        <v>1156</v>
      </c>
      <c r="J21" s="2" t="str">
        <f t="shared" si="0"/>
        <v>SN74LVC04ARGYR</v>
      </c>
      <c r="K21" s="2" t="str">
        <f t="shared" si="1"/>
        <v>SN74LVC04ARGYR</v>
      </c>
    </row>
    <row r="22" spans="1:11" x14ac:dyDescent="0.25">
      <c r="A22" s="2" t="s">
        <v>1174</v>
      </c>
      <c r="B22" s="2" t="s">
        <v>1175</v>
      </c>
      <c r="C22" s="2" t="s">
        <v>198</v>
      </c>
      <c r="D22" s="2" t="s">
        <v>1151</v>
      </c>
      <c r="E22" s="2" t="s">
        <v>1176</v>
      </c>
      <c r="F22" s="10" t="s">
        <v>1119</v>
      </c>
      <c r="G22" s="2" t="s">
        <v>1174</v>
      </c>
      <c r="H22" s="2" t="s">
        <v>166</v>
      </c>
      <c r="I22" s="5" t="s">
        <v>1176</v>
      </c>
      <c r="J22" s="2" t="str">
        <f t="shared" si="0"/>
        <v>SN74LVC1G04DSF2</v>
      </c>
      <c r="K22" s="2" t="str">
        <f t="shared" si="1"/>
        <v>SN74LVC1G04DSF2</v>
      </c>
    </row>
    <row r="23" spans="1:11" x14ac:dyDescent="0.25">
      <c r="A23" s="33" t="s">
        <v>1323</v>
      </c>
      <c r="B23" s="33" t="s">
        <v>1324</v>
      </c>
      <c r="C23" s="33" t="s">
        <v>1325</v>
      </c>
      <c r="D23" s="2" t="s">
        <v>1151</v>
      </c>
      <c r="E23" s="2" t="s">
        <v>1326</v>
      </c>
      <c r="F23" s="10" t="s">
        <v>1119</v>
      </c>
      <c r="G23" s="2" t="s">
        <v>1323</v>
      </c>
      <c r="H23" s="2" t="s">
        <v>166</v>
      </c>
      <c r="I23" s="5" t="s">
        <v>1326</v>
      </c>
      <c r="J23" s="2" t="str">
        <f t="shared" si="0"/>
        <v>74LVC1G08GV</v>
      </c>
      <c r="K23" s="2" t="str">
        <f t="shared" si="1"/>
        <v>74LVC1G08GV</v>
      </c>
    </row>
    <row r="24" spans="1:11" x14ac:dyDescent="0.25">
      <c r="A24" s="33" t="s">
        <v>1342</v>
      </c>
      <c r="B24" s="2" t="s">
        <v>1343</v>
      </c>
      <c r="C24" s="2" t="s">
        <v>198</v>
      </c>
      <c r="D24" s="2" t="s">
        <v>1151</v>
      </c>
      <c r="E24" s="2" t="s">
        <v>1156</v>
      </c>
      <c r="F24" s="5" t="s">
        <v>1119</v>
      </c>
      <c r="G24" s="33" t="s">
        <v>1342</v>
      </c>
      <c r="H24" s="2" t="s">
        <v>166</v>
      </c>
      <c r="I24" s="5" t="s">
        <v>1156</v>
      </c>
      <c r="J24" s="2" t="str">
        <f t="shared" si="0"/>
        <v>SN74LVC08ARGY</v>
      </c>
      <c r="K24" s="2" t="str">
        <f t="shared" si="1"/>
        <v>SN74LVC08ARGY</v>
      </c>
    </row>
    <row r="25" spans="1:11" x14ac:dyDescent="0.25">
      <c r="A25" s="33" t="s">
        <v>1344</v>
      </c>
      <c r="B25" s="2" t="s">
        <v>1345</v>
      </c>
      <c r="C25" s="2" t="s">
        <v>198</v>
      </c>
      <c r="D25" s="2" t="s">
        <v>1151</v>
      </c>
      <c r="E25" s="2" t="s">
        <v>1156</v>
      </c>
      <c r="F25" s="5" t="s">
        <v>1119</v>
      </c>
      <c r="G25" s="33" t="s">
        <v>1344</v>
      </c>
      <c r="H25" s="2" t="s">
        <v>166</v>
      </c>
      <c r="I25" s="5" t="s">
        <v>1156</v>
      </c>
      <c r="J25" s="2" t="str">
        <f t="shared" si="0"/>
        <v>SN74LVC00ARGY</v>
      </c>
      <c r="K25" s="2" t="str">
        <f t="shared" si="1"/>
        <v>SN74LVC00ARGY</v>
      </c>
    </row>
    <row r="26" spans="1:11" x14ac:dyDescent="0.25">
      <c r="A26" s="33" t="s">
        <v>1347</v>
      </c>
      <c r="B26" s="2" t="s">
        <v>1346</v>
      </c>
      <c r="C26" s="2" t="s">
        <v>198</v>
      </c>
      <c r="D26" s="2" t="s">
        <v>1151</v>
      </c>
      <c r="E26" s="2" t="s">
        <v>1156</v>
      </c>
      <c r="F26" s="5" t="s">
        <v>1119</v>
      </c>
      <c r="G26" s="33" t="s">
        <v>1347</v>
      </c>
      <c r="H26" s="2" t="s">
        <v>166</v>
      </c>
      <c r="I26" s="5" t="s">
        <v>1156</v>
      </c>
      <c r="J26" s="2" t="str">
        <f t="shared" si="0"/>
        <v>SN74LVC32ARGY</v>
      </c>
      <c r="K26" s="2" t="str">
        <f t="shared" si="1"/>
        <v>SN74LVC32ARGY</v>
      </c>
    </row>
    <row r="27" spans="1:11" x14ac:dyDescent="0.25">
      <c r="A27" s="2" t="s">
        <v>1138</v>
      </c>
      <c r="B27" s="3" t="s">
        <v>1139</v>
      </c>
      <c r="C27" s="2" t="s">
        <v>1140</v>
      </c>
      <c r="D27" s="2" t="s">
        <v>1141</v>
      </c>
      <c r="E27" s="2" t="s">
        <v>1142</v>
      </c>
      <c r="F27" s="10" t="s">
        <v>1119</v>
      </c>
      <c r="G27" s="2" t="s">
        <v>1138</v>
      </c>
      <c r="H27" s="2" t="s">
        <v>166</v>
      </c>
      <c r="I27" s="6" t="s">
        <v>1142</v>
      </c>
      <c r="J27" s="2" t="str">
        <f t="shared" si="0"/>
        <v>93LC56BT/SN</v>
      </c>
      <c r="K27" s="2" t="str">
        <f t="shared" si="1"/>
        <v>93LC56BT/SN</v>
      </c>
    </row>
    <row r="28" spans="1:11" x14ac:dyDescent="0.25">
      <c r="A28" s="5" t="s">
        <v>1194</v>
      </c>
      <c r="B28" s="2" t="s">
        <v>1195</v>
      </c>
      <c r="C28" s="5" t="s">
        <v>1196</v>
      </c>
      <c r="D28" s="5" t="s">
        <v>1141</v>
      </c>
      <c r="E28" s="5" t="s">
        <v>1197</v>
      </c>
      <c r="F28" s="10" t="s">
        <v>1119</v>
      </c>
      <c r="G28" s="2" t="s">
        <v>1194</v>
      </c>
      <c r="H28" s="5" t="s">
        <v>166</v>
      </c>
      <c r="I28" s="5" t="s">
        <v>1197</v>
      </c>
      <c r="J28" s="5" t="str">
        <f t="shared" si="0"/>
        <v>MX25L12833FM2I-10G</v>
      </c>
      <c r="K28" s="5" t="str">
        <f t="shared" si="1"/>
        <v>MX25L12833FM2I-10G</v>
      </c>
    </row>
    <row r="29" spans="1:11" x14ac:dyDescent="0.25">
      <c r="A29" s="33" t="s">
        <v>1257</v>
      </c>
      <c r="B29" s="2" t="s">
        <v>1258</v>
      </c>
      <c r="C29" s="33" t="s">
        <v>1140</v>
      </c>
      <c r="D29" s="5" t="s">
        <v>1355</v>
      </c>
      <c r="E29" s="33" t="s">
        <v>1259</v>
      </c>
      <c r="F29" s="10" t="s">
        <v>1119</v>
      </c>
      <c r="G29" s="2" t="s">
        <v>1260</v>
      </c>
      <c r="H29" s="5" t="s">
        <v>166</v>
      </c>
      <c r="I29" s="33" t="s">
        <v>1259</v>
      </c>
      <c r="J29" s="5" t="str">
        <f t="shared" si="0"/>
        <v>TC4428AEUA</v>
      </c>
      <c r="K29" s="5" t="str">
        <f t="shared" si="1"/>
        <v>TC4428AEUA</v>
      </c>
    </row>
    <row r="30" spans="1:11" x14ac:dyDescent="0.25">
      <c r="A30" s="33" t="s">
        <v>1275</v>
      </c>
      <c r="B30" s="5" t="s">
        <v>1273</v>
      </c>
      <c r="C30" s="5" t="s">
        <v>198</v>
      </c>
      <c r="D30" s="5" t="s">
        <v>1355</v>
      </c>
      <c r="E30" s="33" t="s">
        <v>1274</v>
      </c>
      <c r="F30" s="10" t="s">
        <v>1119</v>
      </c>
      <c r="G30" s="2" t="s">
        <v>1272</v>
      </c>
      <c r="H30" s="2" t="s">
        <v>166</v>
      </c>
      <c r="I30" s="33" t="s">
        <v>1274</v>
      </c>
      <c r="J30" s="5" t="str">
        <f t="shared" si="0"/>
        <v>TMUX6219RQX</v>
      </c>
      <c r="K30" s="5" t="str">
        <f t="shared" si="1"/>
        <v>TMUX6219RQX</v>
      </c>
    </row>
    <row r="31" spans="1:11" x14ac:dyDescent="0.25">
      <c r="A31" s="33" t="s">
        <v>1327</v>
      </c>
      <c r="B31" s="2" t="s">
        <v>1328</v>
      </c>
      <c r="C31" s="2" t="s">
        <v>198</v>
      </c>
      <c r="D31" s="5" t="s">
        <v>1355</v>
      </c>
      <c r="E31" s="2" t="s">
        <v>1032</v>
      </c>
      <c r="F31" s="2" t="s">
        <v>1119</v>
      </c>
      <c r="G31" s="2" t="s">
        <v>1327</v>
      </c>
      <c r="H31" s="2" t="s">
        <v>166</v>
      </c>
      <c r="I31" s="33" t="s">
        <v>1329</v>
      </c>
      <c r="J31" s="5" t="str">
        <f t="shared" si="0"/>
        <v>TMUX4157N</v>
      </c>
      <c r="K31" s="5" t="str">
        <f t="shared" si="1"/>
        <v>TMUX4157N</v>
      </c>
    </row>
    <row r="32" spans="1:11" x14ac:dyDescent="0.25">
      <c r="A32" s="5" t="s">
        <v>1352</v>
      </c>
      <c r="B32" s="2" t="s">
        <v>1353</v>
      </c>
      <c r="C32" s="5" t="s">
        <v>198</v>
      </c>
      <c r="D32" s="5" t="s">
        <v>1355</v>
      </c>
      <c r="E32" s="2" t="s">
        <v>1354</v>
      </c>
      <c r="F32" s="5" t="s">
        <v>1119</v>
      </c>
      <c r="G32" s="5" t="s">
        <v>1352</v>
      </c>
      <c r="H32" s="2" t="s">
        <v>166</v>
      </c>
      <c r="I32" s="2" t="s">
        <v>1354</v>
      </c>
      <c r="J32" s="5" t="str">
        <f t="shared" si="0"/>
        <v>TMUX4053BQB</v>
      </c>
      <c r="K32" s="5" t="str">
        <f t="shared" si="1"/>
        <v>TMUX4053BQB</v>
      </c>
    </row>
    <row r="33" spans="1:11" x14ac:dyDescent="0.25">
      <c r="A33" s="5" t="s">
        <v>1115</v>
      </c>
      <c r="B33" s="2" t="s">
        <v>1116</v>
      </c>
      <c r="C33" s="2" t="s">
        <v>198</v>
      </c>
      <c r="D33" s="2" t="s">
        <v>1117</v>
      </c>
      <c r="E33" s="5" t="s">
        <v>1118</v>
      </c>
      <c r="F33" s="10" t="s">
        <v>1119</v>
      </c>
      <c r="G33" s="5" t="s">
        <v>1120</v>
      </c>
      <c r="H33" s="5" t="s">
        <v>166</v>
      </c>
      <c r="I33" s="6" t="s">
        <v>1118</v>
      </c>
      <c r="J33" s="5" t="str">
        <f t="shared" si="0"/>
        <v>TXS02612RTWR</v>
      </c>
      <c r="K33" s="5" t="str">
        <f t="shared" si="1"/>
        <v>TXS02612RTWR</v>
      </c>
    </row>
    <row r="34" spans="1:11" s="5" customFormat="1" x14ac:dyDescent="0.25">
      <c r="A34" s="5" t="s">
        <v>1134</v>
      </c>
      <c r="B34" s="5" t="s">
        <v>1135</v>
      </c>
      <c r="C34" s="5" t="s">
        <v>198</v>
      </c>
      <c r="D34" s="5" t="s">
        <v>1117</v>
      </c>
      <c r="E34" s="5" t="s">
        <v>1136</v>
      </c>
      <c r="F34" s="10" t="s">
        <v>1119</v>
      </c>
      <c r="G34" s="5" t="s">
        <v>1137</v>
      </c>
      <c r="H34" s="5" t="s">
        <v>166</v>
      </c>
      <c r="I34" s="5" t="s">
        <v>1136</v>
      </c>
      <c r="J34" s="5" t="str">
        <f t="shared" si="0"/>
        <v>TXS0108EPW</v>
      </c>
      <c r="K34" s="5" t="str">
        <f t="shared" si="1"/>
        <v>TXS0108EPW</v>
      </c>
    </row>
    <row r="35" spans="1:11" x14ac:dyDescent="0.25">
      <c r="A35" s="2" t="s">
        <v>1154</v>
      </c>
      <c r="B35" s="2" t="s">
        <v>1155</v>
      </c>
      <c r="C35" s="2" t="s">
        <v>198</v>
      </c>
      <c r="D35" s="5" t="s">
        <v>1117</v>
      </c>
      <c r="E35" s="2" t="s">
        <v>1156</v>
      </c>
      <c r="F35" s="10" t="s">
        <v>1119</v>
      </c>
      <c r="G35" s="5" t="s">
        <v>1157</v>
      </c>
      <c r="H35" s="5" t="s">
        <v>166</v>
      </c>
      <c r="I35" s="5" t="s">
        <v>1156</v>
      </c>
      <c r="J35" s="5" t="str">
        <f t="shared" si="0"/>
        <v>TXS0104ERGYR</v>
      </c>
      <c r="K35" s="5" t="str">
        <f t="shared" si="1"/>
        <v>TXS0104ERGYR</v>
      </c>
    </row>
    <row r="36" spans="1:11" x14ac:dyDescent="0.25">
      <c r="A36" s="2" t="s">
        <v>1356</v>
      </c>
      <c r="B36" s="2" t="s">
        <v>1357</v>
      </c>
      <c r="C36" s="2" t="s">
        <v>198</v>
      </c>
      <c r="D36" s="2" t="s">
        <v>1355</v>
      </c>
      <c r="E36" s="2" t="s">
        <v>279</v>
      </c>
      <c r="F36" s="10" t="s">
        <v>1119</v>
      </c>
      <c r="G36" s="5" t="s">
        <v>1356</v>
      </c>
      <c r="H36" s="5" t="s">
        <v>166</v>
      </c>
      <c r="I36" s="33" t="s">
        <v>279</v>
      </c>
      <c r="J36" s="5" t="str">
        <f t="shared" si="0"/>
        <v>TMUX7234RRQ</v>
      </c>
      <c r="K36" s="5" t="str">
        <f t="shared" si="1"/>
        <v>TMUX7234RRQ</v>
      </c>
    </row>
    <row r="37" spans="1:11" x14ac:dyDescent="0.25">
      <c r="A37" s="33" t="s">
        <v>1361</v>
      </c>
      <c r="B37" s="2" t="s">
        <v>1360</v>
      </c>
      <c r="C37" s="5" t="s">
        <v>198</v>
      </c>
      <c r="D37" s="5" t="s">
        <v>1151</v>
      </c>
      <c r="E37" s="33" t="s">
        <v>1032</v>
      </c>
      <c r="F37" s="10" t="s">
        <v>1119</v>
      </c>
      <c r="G37" s="5" t="s">
        <v>1361</v>
      </c>
      <c r="H37" s="5" t="s">
        <v>166</v>
      </c>
      <c r="I37" s="33" t="s">
        <v>1359</v>
      </c>
      <c r="J37" s="5" t="str">
        <f t="shared" si="0"/>
        <v>SN74LVC1G02DCK</v>
      </c>
      <c r="K37" s="5" t="str">
        <f t="shared" si="1"/>
        <v>SN74LVC1G02DCK</v>
      </c>
    </row>
  </sheetData>
  <phoneticPr fontId="12" type="noConversion"/>
  <conditionalFormatting sqref="I2:I27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85"/>
  <sheetViews>
    <sheetView showGridLines="0" topLeftCell="A64" workbookViewId="0">
      <selection activeCell="C89" sqref="C89"/>
    </sheetView>
  </sheetViews>
  <sheetFormatPr defaultColWidth="11" defaultRowHeight="15.75" x14ac:dyDescent="0.25"/>
  <cols>
    <col min="1" max="1" width="24" style="10" customWidth="1"/>
    <col min="2" max="2" width="68.625" style="45" customWidth="1"/>
    <col min="3" max="3" width="20.375" style="10" customWidth="1"/>
    <col min="4" max="4" width="12.625" style="10" customWidth="1"/>
    <col min="5" max="5" width="40.75" style="10" customWidth="1"/>
    <col min="6" max="6" width="71.25" style="10" customWidth="1"/>
    <col min="7" max="7" width="18.375" style="10" customWidth="1"/>
    <col min="8" max="9" width="21.75" style="2" customWidth="1"/>
    <col min="10" max="10" width="20.125" style="2" customWidth="1"/>
    <col min="11" max="11" width="25.125" style="2" customWidth="1"/>
    <col min="12" max="12" width="11" style="2"/>
    <col min="13" max="13" width="8.75" style="2" customWidth="1"/>
    <col min="14" max="16384" width="11" style="2"/>
  </cols>
  <sheetData>
    <row r="1" spans="1:14" x14ac:dyDescent="0.25">
      <c r="A1" s="10" t="s">
        <v>0</v>
      </c>
      <c r="B1" s="45" t="s">
        <v>1</v>
      </c>
      <c r="C1" s="10" t="s">
        <v>2</v>
      </c>
      <c r="D1" s="10" t="s">
        <v>3</v>
      </c>
      <c r="E1" s="10" t="s">
        <v>8</v>
      </c>
      <c r="F1" s="10" t="s">
        <v>9</v>
      </c>
      <c r="G1" s="10" t="s">
        <v>10</v>
      </c>
      <c r="H1" s="10" t="s">
        <v>156</v>
      </c>
      <c r="I1" s="10" t="s">
        <v>157</v>
      </c>
      <c r="J1" s="19" t="s">
        <v>15</v>
      </c>
      <c r="K1" s="23" t="s">
        <v>158</v>
      </c>
      <c r="L1" s="23"/>
    </row>
    <row r="2" spans="1:14" x14ac:dyDescent="0.25">
      <c r="A2" s="10" t="s">
        <v>699</v>
      </c>
      <c r="B2" s="45" t="s">
        <v>1418</v>
      </c>
      <c r="C2" s="10" t="s">
        <v>700</v>
      </c>
      <c r="D2" s="2" t="s">
        <v>701</v>
      </c>
      <c r="E2" s="2" t="s">
        <v>702</v>
      </c>
      <c r="F2" s="10" t="s">
        <v>703</v>
      </c>
      <c r="G2" s="10" t="s">
        <v>699</v>
      </c>
      <c r="H2" s="10" t="s">
        <v>166</v>
      </c>
      <c r="I2" s="2" t="s">
        <v>701</v>
      </c>
      <c r="J2" s="10" t="str">
        <f t="shared" ref="J2:J33" si="0">A2</f>
        <v>AVA-183A+</v>
      </c>
      <c r="K2" s="2" t="str">
        <f t="shared" ref="K2:K33" si="1">J2</f>
        <v>AVA-183A+</v>
      </c>
    </row>
    <row r="3" spans="1:14" x14ac:dyDescent="0.25">
      <c r="A3" s="10" t="s">
        <v>704</v>
      </c>
      <c r="B3" s="45" t="s">
        <v>1419</v>
      </c>
      <c r="C3" s="10" t="s">
        <v>700</v>
      </c>
      <c r="D3" s="2" t="s">
        <v>705</v>
      </c>
      <c r="E3" s="2" t="s">
        <v>702</v>
      </c>
      <c r="F3" s="10" t="s">
        <v>703</v>
      </c>
      <c r="G3" s="10" t="s">
        <v>704</v>
      </c>
      <c r="H3" s="10" t="s">
        <v>166</v>
      </c>
      <c r="I3" s="10" t="s">
        <v>705</v>
      </c>
      <c r="J3" s="10" t="str">
        <f t="shared" si="0"/>
        <v>AVA-183P+</v>
      </c>
      <c r="K3" s="2" t="str">
        <f t="shared" si="1"/>
        <v>AVA-183P+</v>
      </c>
    </row>
    <row r="4" spans="1:14" x14ac:dyDescent="0.25">
      <c r="A4" s="10" t="s">
        <v>706</v>
      </c>
      <c r="B4" s="45" t="s">
        <v>1420</v>
      </c>
      <c r="C4" s="10" t="s">
        <v>700</v>
      </c>
      <c r="D4" s="10" t="s">
        <v>707</v>
      </c>
      <c r="E4" s="2" t="s">
        <v>702</v>
      </c>
      <c r="F4" s="10" t="s">
        <v>703</v>
      </c>
      <c r="G4" s="10" t="s">
        <v>706</v>
      </c>
      <c r="H4" s="10" t="s">
        <v>166</v>
      </c>
      <c r="I4" s="10" t="s">
        <v>707</v>
      </c>
      <c r="J4" s="10" t="str">
        <f t="shared" si="0"/>
        <v>AVA-6183MPS+</v>
      </c>
      <c r="K4" s="2" t="str">
        <f t="shared" si="1"/>
        <v>AVA-6183MPS+</v>
      </c>
    </row>
    <row r="5" spans="1:14" x14ac:dyDescent="0.25">
      <c r="A5" s="10" t="s">
        <v>708</v>
      </c>
      <c r="B5" s="45" t="s">
        <v>709</v>
      </c>
      <c r="C5" s="2" t="s">
        <v>710</v>
      </c>
      <c r="D5" s="2" t="s">
        <v>711</v>
      </c>
      <c r="E5" s="2" t="s">
        <v>702</v>
      </c>
      <c r="F5" s="10" t="s">
        <v>712</v>
      </c>
      <c r="G5" s="2" t="s">
        <v>708</v>
      </c>
      <c r="H5" s="10" t="s">
        <v>166</v>
      </c>
      <c r="I5" s="10" t="s">
        <v>713</v>
      </c>
      <c r="J5" s="10" t="str">
        <f t="shared" si="0"/>
        <v>CWDT8005</v>
      </c>
      <c r="K5" s="2" t="str">
        <f t="shared" si="1"/>
        <v>CWDT8005</v>
      </c>
    </row>
    <row r="6" spans="1:14" x14ac:dyDescent="0.25">
      <c r="A6" s="2" t="s">
        <v>714</v>
      </c>
      <c r="B6" s="36" t="s">
        <v>715</v>
      </c>
      <c r="C6" s="10" t="s">
        <v>716</v>
      </c>
      <c r="E6" s="2" t="s">
        <v>702</v>
      </c>
      <c r="F6" s="10" t="s">
        <v>703</v>
      </c>
      <c r="G6" s="10" t="s">
        <v>717</v>
      </c>
      <c r="H6" s="10" t="s">
        <v>166</v>
      </c>
      <c r="I6" s="10" t="s">
        <v>714</v>
      </c>
      <c r="J6" s="10" t="str">
        <f t="shared" si="0"/>
        <v>CWNPA-2735-P40-M</v>
      </c>
      <c r="K6" s="2" t="str">
        <f t="shared" si="1"/>
        <v>CWNPA-2735-P40-M</v>
      </c>
    </row>
    <row r="7" spans="1:14" x14ac:dyDescent="0.25">
      <c r="A7" s="2" t="s">
        <v>718</v>
      </c>
      <c r="B7" s="36" t="s">
        <v>719</v>
      </c>
      <c r="C7" s="10" t="s">
        <v>720</v>
      </c>
      <c r="D7" s="10" t="s">
        <v>721</v>
      </c>
      <c r="E7" s="2" t="s">
        <v>702</v>
      </c>
      <c r="F7" s="10" t="s">
        <v>703</v>
      </c>
      <c r="G7" s="10" t="s">
        <v>718</v>
      </c>
      <c r="H7" s="10" t="s">
        <v>166</v>
      </c>
      <c r="I7" s="10" t="s">
        <v>722</v>
      </c>
      <c r="J7" s="10" t="str">
        <f t="shared" si="0"/>
        <v>CWS13101</v>
      </c>
      <c r="K7" s="2" t="str">
        <f t="shared" si="1"/>
        <v>CWS13101</v>
      </c>
    </row>
    <row r="8" spans="1:14" x14ac:dyDescent="0.25">
      <c r="A8" s="2" t="s">
        <v>723</v>
      </c>
      <c r="B8" s="36" t="s">
        <v>724</v>
      </c>
      <c r="C8" s="10" t="s">
        <v>720</v>
      </c>
      <c r="D8" s="10" t="s">
        <v>721</v>
      </c>
      <c r="E8" s="2" t="s">
        <v>702</v>
      </c>
      <c r="F8" s="10" t="s">
        <v>703</v>
      </c>
      <c r="G8" s="10" t="s">
        <v>723</v>
      </c>
      <c r="H8" s="10" t="s">
        <v>166</v>
      </c>
      <c r="I8" s="10" t="s">
        <v>722</v>
      </c>
      <c r="J8" s="10" t="str">
        <f t="shared" si="0"/>
        <v>CWS13102</v>
      </c>
      <c r="K8" s="2" t="str">
        <f t="shared" si="1"/>
        <v>CWS13102</v>
      </c>
    </row>
    <row r="9" spans="1:14" x14ac:dyDescent="0.25">
      <c r="A9" s="2" t="s">
        <v>725</v>
      </c>
      <c r="B9" s="45" t="s">
        <v>1421</v>
      </c>
      <c r="C9" s="10" t="s">
        <v>700</v>
      </c>
      <c r="D9" s="2" t="s">
        <v>726</v>
      </c>
      <c r="E9" s="2" t="s">
        <v>702</v>
      </c>
      <c r="F9" s="10" t="s">
        <v>703</v>
      </c>
      <c r="G9" s="10" t="s">
        <v>725</v>
      </c>
      <c r="H9" s="10" t="s">
        <v>166</v>
      </c>
      <c r="I9" s="10" t="s">
        <v>727</v>
      </c>
      <c r="J9" s="10" t="str">
        <f t="shared" si="0"/>
        <v>GVA-93+</v>
      </c>
      <c r="K9" s="2" t="str">
        <f t="shared" si="1"/>
        <v>GVA-93+</v>
      </c>
    </row>
    <row r="10" spans="1:14" x14ac:dyDescent="0.25">
      <c r="A10" s="2" t="s">
        <v>728</v>
      </c>
      <c r="B10" s="36" t="s">
        <v>1422</v>
      </c>
      <c r="C10" s="10" t="s">
        <v>160</v>
      </c>
      <c r="D10" s="2" t="s">
        <v>184</v>
      </c>
      <c r="E10" s="2" t="s">
        <v>702</v>
      </c>
      <c r="F10" s="10" t="s">
        <v>703</v>
      </c>
      <c r="G10" s="10" t="s">
        <v>728</v>
      </c>
      <c r="H10" s="10" t="s">
        <v>166</v>
      </c>
      <c r="I10" s="10"/>
      <c r="J10" s="10" t="str">
        <f t="shared" si="0"/>
        <v>HMC451LP3</v>
      </c>
      <c r="K10" s="2" t="str">
        <f t="shared" si="1"/>
        <v>HMC451LP3</v>
      </c>
    </row>
    <row r="11" spans="1:14" s="10" customFormat="1" x14ac:dyDescent="0.25">
      <c r="A11" s="10" t="s">
        <v>729</v>
      </c>
      <c r="B11" s="36" t="s">
        <v>730</v>
      </c>
      <c r="C11" s="10" t="s">
        <v>731</v>
      </c>
      <c r="D11" s="10" t="s">
        <v>732</v>
      </c>
      <c r="E11" s="2" t="s">
        <v>702</v>
      </c>
      <c r="F11" s="10" t="s">
        <v>712</v>
      </c>
      <c r="G11" s="10" t="s">
        <v>729</v>
      </c>
      <c r="H11" s="10" t="s">
        <v>166</v>
      </c>
      <c r="I11" s="10" t="s">
        <v>733</v>
      </c>
      <c r="J11" s="10" t="str">
        <f t="shared" si="0"/>
        <v>IPA-0206B-CQ5B</v>
      </c>
      <c r="K11" s="2" t="str">
        <f t="shared" si="1"/>
        <v>IPA-0206B-CQ5B</v>
      </c>
      <c r="M11" s="2"/>
      <c r="N11" s="2"/>
    </row>
    <row r="12" spans="1:14" x14ac:dyDescent="0.25">
      <c r="A12" s="2" t="s">
        <v>734</v>
      </c>
      <c r="B12" s="45" t="s">
        <v>735</v>
      </c>
      <c r="C12" s="10" t="s">
        <v>700</v>
      </c>
      <c r="D12" s="27" t="s">
        <v>736</v>
      </c>
      <c r="E12" s="2" t="s">
        <v>702</v>
      </c>
      <c r="F12" s="10" t="s">
        <v>703</v>
      </c>
      <c r="G12" s="10" t="s">
        <v>734</v>
      </c>
      <c r="H12" s="10" t="s">
        <v>166</v>
      </c>
      <c r="I12" s="2" t="s">
        <v>736</v>
      </c>
      <c r="J12" s="10" t="str">
        <f t="shared" si="0"/>
        <v>LHA-1+</v>
      </c>
      <c r="K12" s="2" t="str">
        <f t="shared" si="1"/>
        <v>LHA-1+</v>
      </c>
    </row>
    <row r="13" spans="1:14" x14ac:dyDescent="0.25">
      <c r="A13" s="10" t="s">
        <v>737</v>
      </c>
      <c r="B13" s="45" t="s">
        <v>1423</v>
      </c>
      <c r="C13" s="10" t="s">
        <v>700</v>
      </c>
      <c r="D13" s="10" t="s">
        <v>738</v>
      </c>
      <c r="E13" s="2" t="s">
        <v>702</v>
      </c>
      <c r="F13" s="10" t="s">
        <v>703</v>
      </c>
      <c r="G13" s="10" t="s">
        <v>737</v>
      </c>
      <c r="H13" s="10" t="s">
        <v>166</v>
      </c>
      <c r="I13" s="10" t="s">
        <v>738</v>
      </c>
      <c r="J13" s="10" t="str">
        <f t="shared" si="0"/>
        <v>PMA2-183LN+</v>
      </c>
      <c r="K13" s="2" t="str">
        <f t="shared" si="1"/>
        <v>PMA2-183LN+</v>
      </c>
    </row>
    <row r="14" spans="1:14" x14ac:dyDescent="0.25">
      <c r="A14" s="10" t="s">
        <v>739</v>
      </c>
      <c r="B14" s="36" t="s">
        <v>1424</v>
      </c>
      <c r="C14" s="10" t="s">
        <v>700</v>
      </c>
      <c r="D14" s="2" t="s">
        <v>705</v>
      </c>
      <c r="E14" s="2" t="s">
        <v>702</v>
      </c>
      <c r="F14" s="10" t="s">
        <v>703</v>
      </c>
      <c r="G14" s="10" t="s">
        <v>739</v>
      </c>
      <c r="H14" s="10" t="s">
        <v>166</v>
      </c>
      <c r="I14" s="10" t="s">
        <v>705</v>
      </c>
      <c r="J14" s="10" t="str">
        <f t="shared" si="0"/>
        <v>PMA3-83LN+</v>
      </c>
      <c r="K14" s="2" t="str">
        <f t="shared" si="1"/>
        <v>PMA3-83LN+</v>
      </c>
    </row>
    <row r="15" spans="1:14" x14ac:dyDescent="0.25">
      <c r="A15" s="10" t="s">
        <v>740</v>
      </c>
      <c r="B15" s="45" t="s">
        <v>1481</v>
      </c>
      <c r="C15" s="10" t="s">
        <v>1247</v>
      </c>
      <c r="D15" s="2" t="s">
        <v>232</v>
      </c>
      <c r="E15" s="2" t="s">
        <v>702</v>
      </c>
      <c r="F15" s="10" t="s">
        <v>703</v>
      </c>
      <c r="G15" s="10" t="s">
        <v>740</v>
      </c>
      <c r="H15" s="10" t="s">
        <v>166</v>
      </c>
      <c r="I15" s="10" t="s">
        <v>741</v>
      </c>
      <c r="J15" s="10" t="str">
        <f t="shared" si="0"/>
        <v>QPA1008</v>
      </c>
      <c r="K15" s="2" t="str">
        <f t="shared" si="1"/>
        <v>QPA1008</v>
      </c>
    </row>
    <row r="16" spans="1:14" x14ac:dyDescent="0.25">
      <c r="A16" s="10" t="s">
        <v>742</v>
      </c>
      <c r="B16" s="45" t="s">
        <v>1425</v>
      </c>
      <c r="C16" s="10" t="s">
        <v>1247</v>
      </c>
      <c r="D16" s="10" t="s">
        <v>226</v>
      </c>
      <c r="E16" s="2" t="s">
        <v>702</v>
      </c>
      <c r="F16" s="10" t="s">
        <v>703</v>
      </c>
      <c r="G16" s="10" t="s">
        <v>742</v>
      </c>
      <c r="H16" s="10" t="s">
        <v>166</v>
      </c>
      <c r="I16" s="10" t="s">
        <v>743</v>
      </c>
      <c r="J16" s="10" t="str">
        <f t="shared" si="0"/>
        <v>TQL9092</v>
      </c>
      <c r="K16" s="2" t="str">
        <f t="shared" si="1"/>
        <v>TQL9092</v>
      </c>
    </row>
    <row r="17" spans="1:11" x14ac:dyDescent="0.25">
      <c r="A17" s="2" t="s">
        <v>744</v>
      </c>
      <c r="B17" s="36" t="s">
        <v>1426</v>
      </c>
      <c r="C17" s="10" t="s">
        <v>700</v>
      </c>
      <c r="D17" s="2" t="s">
        <v>745</v>
      </c>
      <c r="E17" s="2" t="s">
        <v>702</v>
      </c>
      <c r="F17" s="10" t="s">
        <v>703</v>
      </c>
      <c r="G17" s="2" t="s">
        <v>744</v>
      </c>
      <c r="H17" s="10" t="s">
        <v>166</v>
      </c>
      <c r="I17" s="2" t="s">
        <v>746</v>
      </c>
      <c r="J17" s="10" t="str">
        <f t="shared" si="0"/>
        <v>TSY-173LN+</v>
      </c>
      <c r="K17" s="2" t="str">
        <f t="shared" si="1"/>
        <v>TSY-173LN+</v>
      </c>
    </row>
    <row r="18" spans="1:11" x14ac:dyDescent="0.25">
      <c r="A18" s="2" t="s">
        <v>747</v>
      </c>
      <c r="B18" s="36" t="s">
        <v>1427</v>
      </c>
      <c r="C18" s="10" t="s">
        <v>700</v>
      </c>
      <c r="D18" s="2" t="s">
        <v>705</v>
      </c>
      <c r="E18" s="2" t="s">
        <v>702</v>
      </c>
      <c r="F18" s="10" t="s">
        <v>703</v>
      </c>
      <c r="G18" s="2" t="s">
        <v>747</v>
      </c>
      <c r="H18" s="10" t="s">
        <v>166</v>
      </c>
      <c r="I18" s="10" t="s">
        <v>748</v>
      </c>
      <c r="J18" s="10" t="str">
        <f t="shared" si="0"/>
        <v>TSY-83LN+</v>
      </c>
      <c r="K18" s="2" t="str">
        <f t="shared" si="1"/>
        <v>TSY-83LN+</v>
      </c>
    </row>
    <row r="19" spans="1:11" x14ac:dyDescent="0.25">
      <c r="A19" s="10" t="s">
        <v>749</v>
      </c>
      <c r="B19" s="45" t="s">
        <v>1428</v>
      </c>
      <c r="C19" s="10" t="s">
        <v>700</v>
      </c>
      <c r="D19" s="10" t="s">
        <v>701</v>
      </c>
      <c r="E19" s="2" t="s">
        <v>702</v>
      </c>
      <c r="F19" s="10" t="s">
        <v>703</v>
      </c>
      <c r="G19" s="10" t="s">
        <v>749</v>
      </c>
      <c r="H19" s="10" t="s">
        <v>166</v>
      </c>
      <c r="I19" s="10" t="s">
        <v>701</v>
      </c>
      <c r="J19" s="10" t="str">
        <f t="shared" si="0"/>
        <v>MNA-4A+</v>
      </c>
      <c r="K19" s="2" t="str">
        <f t="shared" si="1"/>
        <v>MNA-4A+</v>
      </c>
    </row>
    <row r="20" spans="1:11" x14ac:dyDescent="0.25">
      <c r="A20" s="10" t="s">
        <v>750</v>
      </c>
      <c r="B20" s="45" t="s">
        <v>1429</v>
      </c>
      <c r="C20" s="10" t="s">
        <v>700</v>
      </c>
      <c r="D20" s="10" t="s">
        <v>705</v>
      </c>
      <c r="E20" s="10" t="s">
        <v>702</v>
      </c>
      <c r="F20" s="10" t="s">
        <v>703</v>
      </c>
      <c r="G20" s="10" t="s">
        <v>750</v>
      </c>
      <c r="H20" s="10" t="s">
        <v>166</v>
      </c>
      <c r="I20" s="10" t="s">
        <v>705</v>
      </c>
      <c r="J20" s="10" t="str">
        <f t="shared" si="0"/>
        <v>PVGA-123+</v>
      </c>
      <c r="K20" s="2" t="str">
        <f t="shared" si="1"/>
        <v>PVGA-123+</v>
      </c>
    </row>
    <row r="21" spans="1:11" x14ac:dyDescent="0.25">
      <c r="A21" s="10" t="s">
        <v>751</v>
      </c>
      <c r="B21" s="45" t="s">
        <v>1430</v>
      </c>
      <c r="C21" s="10" t="s">
        <v>700</v>
      </c>
      <c r="D21" s="10" t="s">
        <v>752</v>
      </c>
      <c r="E21" s="10" t="s">
        <v>702</v>
      </c>
      <c r="F21" s="10" t="s">
        <v>703</v>
      </c>
      <c r="G21" s="10" t="s">
        <v>751</v>
      </c>
      <c r="H21" s="10" t="s">
        <v>166</v>
      </c>
      <c r="I21" s="2" t="s">
        <v>752</v>
      </c>
      <c r="J21" s="10" t="str">
        <f t="shared" si="0"/>
        <v>PMA3-5123+</v>
      </c>
      <c r="K21" s="2" t="str">
        <f t="shared" si="1"/>
        <v>PMA3-5123+</v>
      </c>
    </row>
    <row r="22" spans="1:11" x14ac:dyDescent="0.25">
      <c r="A22" s="10" t="s">
        <v>753</v>
      </c>
      <c r="B22" s="45" t="s">
        <v>1431</v>
      </c>
      <c r="C22" s="10" t="s">
        <v>700</v>
      </c>
      <c r="D22" s="10" t="s">
        <v>754</v>
      </c>
      <c r="E22" s="10" t="s">
        <v>702</v>
      </c>
      <c r="F22" s="10" t="s">
        <v>703</v>
      </c>
      <c r="G22" s="10" t="s">
        <v>753</v>
      </c>
      <c r="H22" s="10" t="s">
        <v>166</v>
      </c>
      <c r="I22" s="2" t="s">
        <v>754</v>
      </c>
      <c r="J22" s="10" t="str">
        <f t="shared" si="0"/>
        <v>PSA-14+</v>
      </c>
      <c r="K22" s="2" t="str">
        <f t="shared" si="1"/>
        <v>PSA-14+</v>
      </c>
    </row>
    <row r="23" spans="1:11" x14ac:dyDescent="0.25">
      <c r="A23" s="10" t="s">
        <v>755</v>
      </c>
      <c r="B23" s="45" t="s">
        <v>1432</v>
      </c>
      <c r="C23" s="10" t="s">
        <v>160</v>
      </c>
      <c r="D23" s="10" t="s">
        <v>756</v>
      </c>
      <c r="E23" s="10" t="s">
        <v>702</v>
      </c>
      <c r="F23" s="10" t="s">
        <v>703</v>
      </c>
      <c r="G23" s="10" t="s">
        <v>755</v>
      </c>
      <c r="H23" s="10" t="s">
        <v>166</v>
      </c>
      <c r="I23" s="10" t="s">
        <v>756</v>
      </c>
      <c r="J23" s="10" t="str">
        <f t="shared" si="0"/>
        <v>ADPA1120</v>
      </c>
      <c r="K23" s="2" t="str">
        <f t="shared" si="1"/>
        <v>ADPA1120</v>
      </c>
    </row>
    <row r="24" spans="1:11" x14ac:dyDescent="0.25">
      <c r="A24" s="10" t="s">
        <v>757</v>
      </c>
      <c r="B24" s="36" t="s">
        <v>1433</v>
      </c>
      <c r="C24" s="10" t="s">
        <v>700</v>
      </c>
      <c r="D24" s="2" t="s">
        <v>746</v>
      </c>
      <c r="E24" s="2" t="s">
        <v>758</v>
      </c>
      <c r="F24" s="10" t="s">
        <v>759</v>
      </c>
      <c r="G24" s="10" t="s">
        <v>760</v>
      </c>
      <c r="H24" s="10" t="s">
        <v>166</v>
      </c>
      <c r="I24" s="2" t="s">
        <v>746</v>
      </c>
      <c r="J24" s="10" t="str">
        <f t="shared" si="0"/>
        <v>YAT-0A+</v>
      </c>
      <c r="K24" s="2" t="str">
        <f t="shared" si="1"/>
        <v>YAT-0A+</v>
      </c>
    </row>
    <row r="25" spans="1:11" x14ac:dyDescent="0.25">
      <c r="A25" s="10" t="s">
        <v>761</v>
      </c>
      <c r="B25" s="36" t="s">
        <v>1434</v>
      </c>
      <c r="C25" s="10" t="s">
        <v>700</v>
      </c>
      <c r="D25" s="2" t="s">
        <v>746</v>
      </c>
      <c r="E25" s="2" t="s">
        <v>758</v>
      </c>
      <c r="F25" s="10" t="s">
        <v>759</v>
      </c>
      <c r="G25" s="10" t="s">
        <v>760</v>
      </c>
      <c r="H25" s="10" t="s">
        <v>166</v>
      </c>
      <c r="I25" s="2" t="s">
        <v>746</v>
      </c>
      <c r="J25" s="10" t="str">
        <f t="shared" si="0"/>
        <v>YAT-10A+</v>
      </c>
      <c r="K25" s="2" t="str">
        <f t="shared" si="1"/>
        <v>YAT-10A+</v>
      </c>
    </row>
    <row r="26" spans="1:11" x14ac:dyDescent="0.25">
      <c r="A26" s="10" t="s">
        <v>762</v>
      </c>
      <c r="B26" s="36" t="s">
        <v>1435</v>
      </c>
      <c r="C26" s="10" t="s">
        <v>700</v>
      </c>
      <c r="D26" s="2" t="s">
        <v>746</v>
      </c>
      <c r="E26" s="2" t="s">
        <v>758</v>
      </c>
      <c r="F26" s="10" t="s">
        <v>759</v>
      </c>
      <c r="G26" s="10" t="s">
        <v>760</v>
      </c>
      <c r="H26" s="10" t="s">
        <v>166</v>
      </c>
      <c r="I26" s="2" t="s">
        <v>746</v>
      </c>
      <c r="J26" s="10" t="str">
        <f t="shared" si="0"/>
        <v>YAT-3A+</v>
      </c>
      <c r="K26" s="2" t="str">
        <f t="shared" si="1"/>
        <v>YAT-3A+</v>
      </c>
    </row>
    <row r="27" spans="1:11" x14ac:dyDescent="0.25">
      <c r="A27" s="10" t="s">
        <v>763</v>
      </c>
      <c r="B27" s="36" t="s">
        <v>1436</v>
      </c>
      <c r="C27" s="10" t="s">
        <v>700</v>
      </c>
      <c r="D27" s="2" t="s">
        <v>746</v>
      </c>
      <c r="E27" s="2" t="s">
        <v>758</v>
      </c>
      <c r="F27" s="10" t="s">
        <v>759</v>
      </c>
      <c r="G27" s="10" t="s">
        <v>760</v>
      </c>
      <c r="H27" s="10" t="s">
        <v>166</v>
      </c>
      <c r="I27" s="2" t="s">
        <v>746</v>
      </c>
      <c r="J27" s="10" t="str">
        <f t="shared" si="0"/>
        <v>YAT-6A+</v>
      </c>
      <c r="K27" s="2" t="str">
        <f t="shared" si="1"/>
        <v>YAT-6A+</v>
      </c>
    </row>
    <row r="28" spans="1:11" x14ac:dyDescent="0.25">
      <c r="A28" s="10" t="s">
        <v>764</v>
      </c>
      <c r="B28" s="36" t="s">
        <v>1437</v>
      </c>
      <c r="C28" s="10" t="s">
        <v>700</v>
      </c>
      <c r="D28" s="2" t="s">
        <v>746</v>
      </c>
      <c r="E28" s="2" t="s">
        <v>758</v>
      </c>
      <c r="F28" s="10" t="s">
        <v>759</v>
      </c>
      <c r="G28" s="10" t="s">
        <v>760</v>
      </c>
      <c r="H28" s="10" t="s">
        <v>166</v>
      </c>
      <c r="I28" s="2" t="s">
        <v>746</v>
      </c>
      <c r="J28" s="10" t="str">
        <f t="shared" si="0"/>
        <v>YAT-30A+</v>
      </c>
      <c r="K28" s="2" t="str">
        <f t="shared" si="1"/>
        <v>YAT-30A+</v>
      </c>
    </row>
    <row r="29" spans="1:11" x14ac:dyDescent="0.25">
      <c r="A29" s="2" t="s">
        <v>765</v>
      </c>
      <c r="B29" s="36" t="s">
        <v>766</v>
      </c>
      <c r="C29" s="10" t="s">
        <v>767</v>
      </c>
      <c r="D29" s="2" t="s">
        <v>768</v>
      </c>
      <c r="E29" s="2" t="s">
        <v>769</v>
      </c>
      <c r="F29" s="10" t="s">
        <v>770</v>
      </c>
      <c r="G29" s="2" t="s">
        <v>765</v>
      </c>
      <c r="H29" s="10" t="s">
        <v>166</v>
      </c>
      <c r="I29" s="2" t="s">
        <v>768</v>
      </c>
      <c r="J29" s="10" t="str">
        <f t="shared" si="0"/>
        <v>TRHJ-2041</v>
      </c>
      <c r="K29" s="2" t="str">
        <f t="shared" si="1"/>
        <v>TRHJ-2041</v>
      </c>
    </row>
    <row r="30" spans="1:11" x14ac:dyDescent="0.25">
      <c r="A30" s="2" t="s">
        <v>771</v>
      </c>
      <c r="B30" s="36" t="s">
        <v>772</v>
      </c>
      <c r="C30" s="10" t="s">
        <v>767</v>
      </c>
      <c r="D30" s="2" t="s">
        <v>773</v>
      </c>
      <c r="E30" s="2" t="s">
        <v>769</v>
      </c>
      <c r="F30" s="10" t="s">
        <v>770</v>
      </c>
      <c r="G30" s="2" t="s">
        <v>771</v>
      </c>
      <c r="H30" s="10" t="s">
        <v>166</v>
      </c>
      <c r="I30" s="2" t="s">
        <v>771</v>
      </c>
      <c r="J30" s="10" t="str">
        <f t="shared" si="0"/>
        <v>TRHJ-4061</v>
      </c>
      <c r="K30" s="2" t="str">
        <f t="shared" si="1"/>
        <v>TRHJ-4061</v>
      </c>
    </row>
    <row r="31" spans="1:11" x14ac:dyDescent="0.25">
      <c r="A31" s="10" t="s">
        <v>1248</v>
      </c>
      <c r="B31" s="36" t="s">
        <v>1482</v>
      </c>
      <c r="C31" s="2" t="s">
        <v>774</v>
      </c>
      <c r="D31" s="24">
        <v>1008</v>
      </c>
      <c r="E31" s="2" t="s">
        <v>775</v>
      </c>
      <c r="F31" s="10" t="s">
        <v>776</v>
      </c>
      <c r="G31" s="10" t="s">
        <v>777</v>
      </c>
      <c r="H31" s="10" t="s">
        <v>166</v>
      </c>
      <c r="I31" s="10" t="s">
        <v>777</v>
      </c>
      <c r="J31" s="10" t="str">
        <f t="shared" si="0"/>
        <v>3350BP39A0500001E</v>
      </c>
      <c r="K31" s="2" t="str">
        <f t="shared" si="1"/>
        <v>3350BP39A0500001E</v>
      </c>
    </row>
    <row r="32" spans="1:11" x14ac:dyDescent="0.25">
      <c r="A32" s="10" t="s">
        <v>778</v>
      </c>
      <c r="B32" s="45" t="s">
        <v>1438</v>
      </c>
      <c r="C32" s="10" t="s">
        <v>700</v>
      </c>
      <c r="D32" s="10" t="s">
        <v>779</v>
      </c>
      <c r="E32" s="2" t="s">
        <v>775</v>
      </c>
      <c r="F32" s="10" t="s">
        <v>776</v>
      </c>
      <c r="G32" s="10" t="s">
        <v>780</v>
      </c>
      <c r="H32" s="10" t="s">
        <v>166</v>
      </c>
      <c r="I32" s="2" t="s">
        <v>779</v>
      </c>
      <c r="J32" s="10" t="str">
        <f t="shared" si="0"/>
        <v>BFCN-3700+</v>
      </c>
      <c r="K32" s="2" t="str">
        <f t="shared" si="1"/>
        <v>BFCN-3700+</v>
      </c>
    </row>
    <row r="33" spans="1:11" x14ac:dyDescent="0.25">
      <c r="A33" s="10" t="s">
        <v>781</v>
      </c>
      <c r="B33" s="36" t="s">
        <v>1439</v>
      </c>
      <c r="C33" s="10" t="s">
        <v>700</v>
      </c>
      <c r="D33" s="2" t="s">
        <v>782</v>
      </c>
      <c r="E33" s="2" t="s">
        <v>775</v>
      </c>
      <c r="F33" s="10" t="s">
        <v>776</v>
      </c>
      <c r="G33" s="10" t="s">
        <v>780</v>
      </c>
      <c r="H33" s="10" t="s">
        <v>166</v>
      </c>
      <c r="I33" s="10" t="s">
        <v>782</v>
      </c>
      <c r="J33" s="10" t="str">
        <f t="shared" si="0"/>
        <v>BFCW-542+</v>
      </c>
      <c r="K33" s="2" t="str">
        <f t="shared" si="1"/>
        <v>BFCW-542+</v>
      </c>
    </row>
    <row r="34" spans="1:11" x14ac:dyDescent="0.25">
      <c r="A34" s="10" t="s">
        <v>783</v>
      </c>
      <c r="B34" s="45" t="s">
        <v>1440</v>
      </c>
      <c r="C34" s="10" t="s">
        <v>700</v>
      </c>
      <c r="D34" s="10" t="s">
        <v>784</v>
      </c>
      <c r="E34" s="2" t="s">
        <v>775</v>
      </c>
      <c r="F34" s="10" t="s">
        <v>776</v>
      </c>
      <c r="G34" s="10" t="s">
        <v>785</v>
      </c>
      <c r="H34" s="10" t="s">
        <v>166</v>
      </c>
      <c r="I34" s="2" t="s">
        <v>784</v>
      </c>
      <c r="J34" s="10" t="str">
        <f t="shared" ref="J34:J65" si="2">A34</f>
        <v>BFHKI-9901+</v>
      </c>
      <c r="K34" s="2" t="str">
        <f t="shared" ref="K34:K65" si="3">J34</f>
        <v>BFHKI-9901+</v>
      </c>
    </row>
    <row r="35" spans="1:11" x14ac:dyDescent="0.25">
      <c r="A35" s="2" t="s">
        <v>786</v>
      </c>
      <c r="B35" s="45" t="s">
        <v>1441</v>
      </c>
      <c r="C35" s="10" t="s">
        <v>700</v>
      </c>
      <c r="D35" s="2" t="s">
        <v>787</v>
      </c>
      <c r="E35" s="2" t="s">
        <v>775</v>
      </c>
      <c r="F35" s="10" t="s">
        <v>776</v>
      </c>
      <c r="G35" s="10" t="s">
        <v>788</v>
      </c>
      <c r="H35" s="10" t="s">
        <v>166</v>
      </c>
      <c r="I35" s="2" t="s">
        <v>787</v>
      </c>
      <c r="J35" s="10" t="str">
        <f t="shared" si="2"/>
        <v>HFCN-7150+</v>
      </c>
      <c r="K35" s="2" t="str">
        <f t="shared" si="3"/>
        <v>HFCN-7150+</v>
      </c>
    </row>
    <row r="36" spans="1:11" x14ac:dyDescent="0.25">
      <c r="A36" s="10" t="s">
        <v>789</v>
      </c>
      <c r="B36" s="45" t="s">
        <v>1442</v>
      </c>
      <c r="C36" s="10" t="s">
        <v>700</v>
      </c>
      <c r="D36" s="2" t="s">
        <v>790</v>
      </c>
      <c r="E36" s="2" t="s">
        <v>775</v>
      </c>
      <c r="F36" s="10" t="s">
        <v>776</v>
      </c>
      <c r="G36" s="10" t="s">
        <v>788</v>
      </c>
      <c r="H36" s="10" t="s">
        <v>166</v>
      </c>
      <c r="I36" s="6" t="s">
        <v>790</v>
      </c>
      <c r="J36" s="10" t="str">
        <f t="shared" si="2"/>
        <v>HFCW-1132+</v>
      </c>
      <c r="K36" s="2" t="str">
        <f t="shared" si="3"/>
        <v>HFCW-1132+</v>
      </c>
    </row>
    <row r="37" spans="1:11" x14ac:dyDescent="0.25">
      <c r="A37" s="2" t="s">
        <v>791</v>
      </c>
      <c r="B37" s="45" t="s">
        <v>1443</v>
      </c>
      <c r="C37" s="10" t="s">
        <v>700</v>
      </c>
      <c r="D37" s="2" t="s">
        <v>790</v>
      </c>
      <c r="E37" s="2" t="s">
        <v>775</v>
      </c>
      <c r="F37" s="10" t="s">
        <v>776</v>
      </c>
      <c r="G37" s="10" t="s">
        <v>788</v>
      </c>
      <c r="H37" s="10" t="s">
        <v>166</v>
      </c>
      <c r="I37" s="6" t="s">
        <v>790</v>
      </c>
      <c r="J37" s="10" t="str">
        <f t="shared" si="2"/>
        <v>HFCW-9500+</v>
      </c>
      <c r="K37" s="2" t="str">
        <f t="shared" si="3"/>
        <v>HFCW-9500+</v>
      </c>
    </row>
    <row r="38" spans="1:11" x14ac:dyDescent="0.25">
      <c r="A38" s="10" t="s">
        <v>792</v>
      </c>
      <c r="B38" s="36" t="s">
        <v>1444</v>
      </c>
      <c r="C38" s="10" t="s">
        <v>700</v>
      </c>
      <c r="D38" s="2" t="s">
        <v>793</v>
      </c>
      <c r="E38" s="2" t="s">
        <v>775</v>
      </c>
      <c r="F38" s="10" t="s">
        <v>776</v>
      </c>
      <c r="G38" s="10" t="s">
        <v>794</v>
      </c>
      <c r="H38" s="10" t="s">
        <v>166</v>
      </c>
      <c r="I38" s="10" t="s">
        <v>793</v>
      </c>
      <c r="J38" s="10" t="str">
        <f t="shared" si="2"/>
        <v>LFCG-2000+</v>
      </c>
      <c r="K38" s="2" t="str">
        <f t="shared" si="3"/>
        <v>LFCG-2000+</v>
      </c>
    </row>
    <row r="39" spans="1:11" x14ac:dyDescent="0.25">
      <c r="A39" s="10" t="s">
        <v>795</v>
      </c>
      <c r="B39" s="45" t="s">
        <v>1478</v>
      </c>
      <c r="C39" s="10" t="s">
        <v>700</v>
      </c>
      <c r="D39" s="2" t="s">
        <v>796</v>
      </c>
      <c r="E39" s="2" t="s">
        <v>775</v>
      </c>
      <c r="F39" s="10" t="s">
        <v>776</v>
      </c>
      <c r="G39" s="10" t="s">
        <v>780</v>
      </c>
      <c r="H39" s="10" t="s">
        <v>166</v>
      </c>
      <c r="I39" s="2" t="s">
        <v>796</v>
      </c>
      <c r="J39" s="10" t="str">
        <f t="shared" si="2"/>
        <v>LFCN-1500D+</v>
      </c>
      <c r="K39" s="2" t="str">
        <f t="shared" si="3"/>
        <v>LFCN-1500D+</v>
      </c>
    </row>
    <row r="40" spans="1:11" x14ac:dyDescent="0.25">
      <c r="A40" s="2" t="s">
        <v>797</v>
      </c>
      <c r="B40" s="45" t="s">
        <v>1445</v>
      </c>
      <c r="C40" s="10" t="s">
        <v>700</v>
      </c>
      <c r="D40" s="2" t="s">
        <v>796</v>
      </c>
      <c r="E40" s="2" t="s">
        <v>775</v>
      </c>
      <c r="F40" s="10" t="s">
        <v>776</v>
      </c>
      <c r="G40" s="10" t="s">
        <v>780</v>
      </c>
      <c r="H40" s="10" t="s">
        <v>166</v>
      </c>
      <c r="I40" s="2" t="s">
        <v>796</v>
      </c>
      <c r="J40" s="10" t="str">
        <f t="shared" si="2"/>
        <v>LFCN-5500D+</v>
      </c>
      <c r="K40" s="2" t="str">
        <f t="shared" si="3"/>
        <v>LFCN-5500D+</v>
      </c>
    </row>
    <row r="41" spans="1:11" x14ac:dyDescent="0.25">
      <c r="A41" s="10" t="s">
        <v>1249</v>
      </c>
      <c r="B41" s="36" t="s">
        <v>1446</v>
      </c>
      <c r="C41" s="10" t="s">
        <v>700</v>
      </c>
      <c r="D41" s="2" t="s">
        <v>782</v>
      </c>
      <c r="E41" s="2" t="s">
        <v>775</v>
      </c>
      <c r="F41" s="10" t="s">
        <v>776</v>
      </c>
      <c r="G41" s="10" t="s">
        <v>780</v>
      </c>
      <c r="H41" s="10" t="s">
        <v>166</v>
      </c>
      <c r="I41" s="2" t="s">
        <v>782</v>
      </c>
      <c r="J41" s="10" t="str">
        <f t="shared" si="2"/>
        <v>LFCW-8700+</v>
      </c>
      <c r="K41" s="2" t="str">
        <f t="shared" si="3"/>
        <v>LFCW-8700+</v>
      </c>
    </row>
    <row r="42" spans="1:11" x14ac:dyDescent="0.25">
      <c r="A42" s="2" t="s">
        <v>798</v>
      </c>
      <c r="B42" s="45" t="s">
        <v>1447</v>
      </c>
      <c r="C42" s="10" t="s">
        <v>700</v>
      </c>
      <c r="D42" s="2" t="s">
        <v>796</v>
      </c>
      <c r="E42" s="2" t="s">
        <v>775</v>
      </c>
      <c r="F42" s="10" t="s">
        <v>776</v>
      </c>
      <c r="G42" s="10" t="s">
        <v>780</v>
      </c>
      <c r="H42" s="10" t="s">
        <v>166</v>
      </c>
      <c r="I42" s="2" t="s">
        <v>796</v>
      </c>
      <c r="J42" s="10" t="str">
        <f t="shared" si="2"/>
        <v>LFCN-3000+</v>
      </c>
      <c r="K42" s="2" t="str">
        <f t="shared" si="3"/>
        <v>LFCN-3000+</v>
      </c>
    </row>
    <row r="43" spans="1:11" x14ac:dyDescent="0.25">
      <c r="A43" s="2" t="s">
        <v>799</v>
      </c>
      <c r="B43" s="45" t="s">
        <v>1448</v>
      </c>
      <c r="C43" s="10" t="s">
        <v>700</v>
      </c>
      <c r="D43" s="2" t="s">
        <v>787</v>
      </c>
      <c r="E43" s="2" t="s">
        <v>775</v>
      </c>
      <c r="F43" s="10" t="s">
        <v>776</v>
      </c>
      <c r="G43" s="10" t="s">
        <v>788</v>
      </c>
      <c r="H43" s="10" t="s">
        <v>166</v>
      </c>
      <c r="I43" s="2" t="s">
        <v>787</v>
      </c>
      <c r="J43" s="10" t="str">
        <f t="shared" si="2"/>
        <v>HFCN-2700AD+</v>
      </c>
      <c r="K43" s="2" t="str">
        <f t="shared" si="3"/>
        <v>HFCN-2700AD+</v>
      </c>
    </row>
    <row r="44" spans="1:11" x14ac:dyDescent="0.25">
      <c r="A44" s="10" t="s">
        <v>800</v>
      </c>
      <c r="B44" s="45" t="s">
        <v>1449</v>
      </c>
      <c r="C44" s="10" t="s">
        <v>700</v>
      </c>
      <c r="D44" s="10" t="s">
        <v>705</v>
      </c>
      <c r="E44" s="2" t="s">
        <v>775</v>
      </c>
      <c r="F44" s="10" t="s">
        <v>776</v>
      </c>
      <c r="G44" s="10" t="s">
        <v>801</v>
      </c>
      <c r="H44" s="10" t="s">
        <v>166</v>
      </c>
      <c r="I44" s="10" t="s">
        <v>705</v>
      </c>
      <c r="J44" s="10" t="str">
        <f t="shared" si="2"/>
        <v>XLF-662M+</v>
      </c>
      <c r="K44" s="2" t="str">
        <f t="shared" si="3"/>
        <v>XLF-662M+</v>
      </c>
    </row>
    <row r="45" spans="1:11" x14ac:dyDescent="0.25">
      <c r="A45" s="10" t="s">
        <v>802</v>
      </c>
      <c r="B45" s="45" t="s">
        <v>1450</v>
      </c>
      <c r="C45" s="10" t="s">
        <v>700</v>
      </c>
      <c r="D45" s="10" t="s">
        <v>705</v>
      </c>
      <c r="E45" s="2" t="s">
        <v>775</v>
      </c>
      <c r="F45" s="10" t="s">
        <v>776</v>
      </c>
      <c r="G45" s="10" t="s">
        <v>803</v>
      </c>
      <c r="H45" s="10" t="s">
        <v>166</v>
      </c>
      <c r="I45" s="10" t="s">
        <v>705</v>
      </c>
      <c r="J45" s="10" t="str">
        <f t="shared" si="2"/>
        <v>XHF-63M+</v>
      </c>
      <c r="K45" s="2" t="str">
        <f t="shared" si="3"/>
        <v>XHF-63M+</v>
      </c>
    </row>
    <row r="46" spans="1:11" x14ac:dyDescent="0.25">
      <c r="A46" s="10" t="s">
        <v>804</v>
      </c>
      <c r="B46" s="45" t="s">
        <v>1451</v>
      </c>
      <c r="C46" s="10" t="s">
        <v>700</v>
      </c>
      <c r="D46" s="10" t="s">
        <v>705</v>
      </c>
      <c r="E46" s="2" t="s">
        <v>775</v>
      </c>
      <c r="F46" s="10" t="s">
        <v>776</v>
      </c>
      <c r="G46" s="10" t="s">
        <v>803</v>
      </c>
      <c r="H46" s="10" t="s">
        <v>166</v>
      </c>
      <c r="I46" s="10" t="s">
        <v>705</v>
      </c>
      <c r="J46" s="10" t="str">
        <f t="shared" si="2"/>
        <v>XHF-73M+</v>
      </c>
      <c r="K46" s="2" t="str">
        <f t="shared" si="3"/>
        <v>XHF-73M+</v>
      </c>
    </row>
    <row r="47" spans="1:11" x14ac:dyDescent="0.25">
      <c r="A47" s="10" t="s">
        <v>805</v>
      </c>
      <c r="B47" s="45" t="s">
        <v>1452</v>
      </c>
      <c r="C47" s="10" t="s">
        <v>700</v>
      </c>
      <c r="D47" s="10" t="s">
        <v>806</v>
      </c>
      <c r="E47" s="2" t="s">
        <v>775</v>
      </c>
      <c r="F47" s="10" t="s">
        <v>776</v>
      </c>
      <c r="G47" s="10" t="s">
        <v>807</v>
      </c>
      <c r="H47" s="10" t="s">
        <v>166</v>
      </c>
      <c r="I47" s="10" t="s">
        <v>806</v>
      </c>
      <c r="J47" s="10" t="str">
        <f t="shared" si="2"/>
        <v>XLF-132H+</v>
      </c>
      <c r="K47" s="2" t="str">
        <f t="shared" si="3"/>
        <v>XLF-132H+</v>
      </c>
    </row>
    <row r="48" spans="1:11" x14ac:dyDescent="0.25">
      <c r="A48" s="10" t="s">
        <v>808</v>
      </c>
      <c r="B48" s="45" t="s">
        <v>809</v>
      </c>
      <c r="C48" s="10" t="s">
        <v>810</v>
      </c>
      <c r="D48" s="10" t="s">
        <v>811</v>
      </c>
      <c r="E48" s="2" t="s">
        <v>775</v>
      </c>
      <c r="F48" s="10" t="s">
        <v>776</v>
      </c>
      <c r="G48" s="10" t="s">
        <v>808</v>
      </c>
      <c r="H48" s="10" t="s">
        <v>166</v>
      </c>
      <c r="I48" s="10" t="s">
        <v>808</v>
      </c>
      <c r="J48" s="10" t="str">
        <f t="shared" si="2"/>
        <v>TA0332A</v>
      </c>
      <c r="K48" s="2" t="str">
        <f t="shared" si="3"/>
        <v>TA0332A</v>
      </c>
    </row>
    <row r="49" spans="1:11" x14ac:dyDescent="0.25">
      <c r="A49" s="10" t="s">
        <v>812</v>
      </c>
      <c r="B49" s="45" t="s">
        <v>1453</v>
      </c>
      <c r="C49" s="10" t="s">
        <v>700</v>
      </c>
      <c r="D49" s="10" t="s">
        <v>784</v>
      </c>
      <c r="E49" s="10" t="s">
        <v>775</v>
      </c>
      <c r="F49" s="10" t="s">
        <v>776</v>
      </c>
      <c r="G49" s="10" t="s">
        <v>785</v>
      </c>
      <c r="H49" s="10" t="s">
        <v>166</v>
      </c>
      <c r="I49" s="2" t="s">
        <v>784</v>
      </c>
      <c r="J49" s="10" t="str">
        <f t="shared" si="2"/>
        <v>BFHKI-8501+</v>
      </c>
      <c r="K49" s="2" t="str">
        <f t="shared" si="3"/>
        <v>BFHKI-8501+</v>
      </c>
    </row>
    <row r="50" spans="1:11" x14ac:dyDescent="0.25">
      <c r="A50" s="10" t="s">
        <v>813</v>
      </c>
      <c r="B50" s="45" t="s">
        <v>814</v>
      </c>
      <c r="C50" s="10" t="s">
        <v>815</v>
      </c>
      <c r="D50" s="10" t="s">
        <v>816</v>
      </c>
      <c r="E50" s="10" t="s">
        <v>775</v>
      </c>
      <c r="F50" s="10" t="s">
        <v>776</v>
      </c>
      <c r="G50" s="10" t="s">
        <v>785</v>
      </c>
      <c r="H50" s="10" t="s">
        <v>166</v>
      </c>
      <c r="I50" s="10" t="s">
        <v>816</v>
      </c>
      <c r="J50" s="10" t="str">
        <f t="shared" si="2"/>
        <v>B070MB6S</v>
      </c>
      <c r="K50" s="2" t="str">
        <f t="shared" si="3"/>
        <v>B070MB6S</v>
      </c>
    </row>
    <row r="51" spans="1:11" x14ac:dyDescent="0.25">
      <c r="A51" s="10" t="s">
        <v>817</v>
      </c>
      <c r="B51" s="45" t="s">
        <v>1454</v>
      </c>
      <c r="C51" s="10" t="s">
        <v>160</v>
      </c>
      <c r="D51" s="10" t="s">
        <v>818</v>
      </c>
      <c r="E51" s="2" t="s">
        <v>819</v>
      </c>
      <c r="F51" s="10" t="s">
        <v>820</v>
      </c>
      <c r="G51" s="2" t="s">
        <v>821</v>
      </c>
      <c r="H51" s="10" t="s">
        <v>166</v>
      </c>
      <c r="I51" s="2" t="s">
        <v>822</v>
      </c>
      <c r="J51" s="10" t="str">
        <f t="shared" si="2"/>
        <v>ADMV1013ACCZ</v>
      </c>
      <c r="K51" s="2" t="str">
        <f t="shared" si="3"/>
        <v>ADMV1013ACCZ</v>
      </c>
    </row>
    <row r="52" spans="1:11" x14ac:dyDescent="0.25">
      <c r="A52" s="10" t="s">
        <v>823</v>
      </c>
      <c r="B52" s="45" t="s">
        <v>1455</v>
      </c>
      <c r="C52" s="10" t="s">
        <v>160</v>
      </c>
      <c r="D52" s="2" t="s">
        <v>824</v>
      </c>
      <c r="E52" s="2" t="s">
        <v>819</v>
      </c>
      <c r="F52" s="10" t="s">
        <v>820</v>
      </c>
      <c r="G52" s="2" t="s">
        <v>825</v>
      </c>
      <c r="H52" s="10" t="s">
        <v>166</v>
      </c>
      <c r="I52" s="10" t="s">
        <v>826</v>
      </c>
      <c r="J52" s="10" t="str">
        <f t="shared" si="2"/>
        <v>ADMV1014ACCZ</v>
      </c>
      <c r="K52" s="2" t="str">
        <f t="shared" si="3"/>
        <v>ADMV1014ACCZ</v>
      </c>
    </row>
    <row r="53" spans="1:11" x14ac:dyDescent="0.25">
      <c r="A53" s="10" t="s">
        <v>827</v>
      </c>
      <c r="B53" s="45" t="s">
        <v>1456</v>
      </c>
      <c r="C53" s="10" t="s">
        <v>160</v>
      </c>
      <c r="D53" s="10" t="s">
        <v>721</v>
      </c>
      <c r="E53" s="2" t="s">
        <v>819</v>
      </c>
      <c r="F53" s="10" t="s">
        <v>820</v>
      </c>
      <c r="G53" s="10" t="s">
        <v>827</v>
      </c>
      <c r="H53" s="10" t="s">
        <v>166</v>
      </c>
      <c r="I53" s="10" t="s">
        <v>828</v>
      </c>
      <c r="J53" s="10" t="str">
        <f t="shared" si="2"/>
        <v>LTC5548</v>
      </c>
      <c r="K53" s="2" t="str">
        <f t="shared" si="3"/>
        <v>LTC5548</v>
      </c>
    </row>
    <row r="54" spans="1:11" x14ac:dyDescent="0.25">
      <c r="A54" s="10" t="s">
        <v>829</v>
      </c>
      <c r="B54" s="45" t="s">
        <v>1457</v>
      </c>
      <c r="C54" s="10" t="s">
        <v>160</v>
      </c>
      <c r="D54" s="10" t="s">
        <v>721</v>
      </c>
      <c r="E54" s="2" t="s">
        <v>819</v>
      </c>
      <c r="F54" s="10" t="s">
        <v>820</v>
      </c>
      <c r="G54" s="10" t="s">
        <v>829</v>
      </c>
      <c r="H54" s="10" t="s">
        <v>166</v>
      </c>
      <c r="I54" s="10" t="s">
        <v>828</v>
      </c>
      <c r="J54" s="10" t="str">
        <f t="shared" si="2"/>
        <v>LTC5553</v>
      </c>
      <c r="K54" s="2" t="str">
        <f t="shared" si="3"/>
        <v>LTC5553</v>
      </c>
    </row>
    <row r="55" spans="1:11" x14ac:dyDescent="0.25">
      <c r="A55" s="10" t="s">
        <v>830</v>
      </c>
      <c r="B55" s="36" t="s">
        <v>1458</v>
      </c>
      <c r="C55" s="10" t="s">
        <v>700</v>
      </c>
      <c r="D55" s="2" t="s">
        <v>806</v>
      </c>
      <c r="E55" s="2" t="s">
        <v>819</v>
      </c>
      <c r="F55" s="10" t="s">
        <v>820</v>
      </c>
      <c r="G55" s="10" t="s">
        <v>830</v>
      </c>
      <c r="H55" s="10" t="s">
        <v>166</v>
      </c>
      <c r="I55" s="2" t="s">
        <v>806</v>
      </c>
      <c r="J55" s="10" t="str">
        <f t="shared" si="2"/>
        <v>SMIQ-6243H+</v>
      </c>
      <c r="K55" s="2" t="str">
        <f t="shared" si="3"/>
        <v>SMIQ-6243H+</v>
      </c>
    </row>
    <row r="56" spans="1:11" x14ac:dyDescent="0.25">
      <c r="A56" s="10" t="s">
        <v>831</v>
      </c>
      <c r="B56" s="45" t="s">
        <v>1459</v>
      </c>
      <c r="C56" s="10" t="s">
        <v>160</v>
      </c>
      <c r="D56" s="10" t="s">
        <v>721</v>
      </c>
      <c r="E56" s="2" t="s">
        <v>819</v>
      </c>
      <c r="F56" s="10" t="s">
        <v>820</v>
      </c>
      <c r="G56" s="10" t="s">
        <v>827</v>
      </c>
      <c r="H56" s="10" t="s">
        <v>166</v>
      </c>
      <c r="I56" s="10" t="s">
        <v>828</v>
      </c>
      <c r="J56" s="10" t="str">
        <f t="shared" si="2"/>
        <v>LTC5552</v>
      </c>
      <c r="K56" s="2" t="str">
        <f t="shared" si="3"/>
        <v>LTC5552</v>
      </c>
    </row>
    <row r="57" spans="1:11" x14ac:dyDescent="0.25">
      <c r="A57" s="10" t="s">
        <v>832</v>
      </c>
      <c r="B57" s="45" t="s">
        <v>1456</v>
      </c>
      <c r="C57" s="10" t="s">
        <v>160</v>
      </c>
      <c r="D57" s="10" t="s">
        <v>721</v>
      </c>
      <c r="E57" s="10" t="s">
        <v>819</v>
      </c>
      <c r="F57" s="10" t="s">
        <v>820</v>
      </c>
      <c r="G57" s="10" t="s">
        <v>832</v>
      </c>
      <c r="H57" s="10" t="s">
        <v>166</v>
      </c>
      <c r="I57" s="10" t="s">
        <v>828</v>
      </c>
      <c r="J57" s="10" t="str">
        <f t="shared" si="2"/>
        <v>LTC5549</v>
      </c>
      <c r="K57" s="2" t="str">
        <f t="shared" si="3"/>
        <v>LTC5549</v>
      </c>
    </row>
    <row r="58" spans="1:11" x14ac:dyDescent="0.25">
      <c r="A58" s="10" t="s">
        <v>833</v>
      </c>
      <c r="B58" s="46" t="s">
        <v>1480</v>
      </c>
      <c r="C58" s="10" t="s">
        <v>774</v>
      </c>
      <c r="D58" s="10" t="s">
        <v>60</v>
      </c>
      <c r="E58" s="2" t="s">
        <v>834</v>
      </c>
      <c r="F58" s="10" t="s">
        <v>835</v>
      </c>
      <c r="G58" s="10" t="s">
        <v>833</v>
      </c>
      <c r="H58" s="10" t="s">
        <v>166</v>
      </c>
      <c r="I58" s="10" t="s">
        <v>833</v>
      </c>
      <c r="J58" s="10" t="str">
        <f t="shared" si="2"/>
        <v>4400BL15A0100E</v>
      </c>
      <c r="K58" s="2" t="str">
        <f t="shared" si="3"/>
        <v>4400BL15A0100E</v>
      </c>
    </row>
    <row r="59" spans="1:11" x14ac:dyDescent="0.25">
      <c r="A59" s="10" t="s">
        <v>836</v>
      </c>
      <c r="B59" s="45" t="s">
        <v>1460</v>
      </c>
      <c r="C59" s="10" t="s">
        <v>700</v>
      </c>
      <c r="D59" s="2" t="s">
        <v>837</v>
      </c>
      <c r="E59" s="2" t="s">
        <v>834</v>
      </c>
      <c r="F59" s="10" t="s">
        <v>835</v>
      </c>
      <c r="G59" s="10" t="s">
        <v>836</v>
      </c>
      <c r="H59" s="10" t="s">
        <v>166</v>
      </c>
      <c r="I59" s="2" t="s">
        <v>837</v>
      </c>
      <c r="J59" s="10" t="str">
        <f t="shared" si="2"/>
        <v>D17W+</v>
      </c>
      <c r="K59" s="2" t="str">
        <f t="shared" si="3"/>
        <v>D17W+</v>
      </c>
    </row>
    <row r="60" spans="1:11" x14ac:dyDescent="0.25">
      <c r="A60" s="10" t="s">
        <v>838</v>
      </c>
      <c r="B60" s="36" t="s">
        <v>1461</v>
      </c>
      <c r="C60" s="10" t="s">
        <v>700</v>
      </c>
      <c r="D60" s="2" t="s">
        <v>806</v>
      </c>
      <c r="E60" s="2" t="s">
        <v>834</v>
      </c>
      <c r="F60" s="10" t="s">
        <v>835</v>
      </c>
      <c r="G60" s="10" t="s">
        <v>838</v>
      </c>
      <c r="H60" s="10" t="s">
        <v>166</v>
      </c>
      <c r="I60" s="2" t="s">
        <v>806</v>
      </c>
      <c r="J60" s="10" t="str">
        <f t="shared" si="2"/>
        <v>EP2C+</v>
      </c>
      <c r="K60" s="2" t="str">
        <f t="shared" si="3"/>
        <v>EP2C+</v>
      </c>
    </row>
    <row r="61" spans="1:11" x14ac:dyDescent="0.25">
      <c r="A61" s="10" t="s">
        <v>839</v>
      </c>
      <c r="B61" s="36" t="s">
        <v>1462</v>
      </c>
      <c r="C61" s="10" t="s">
        <v>700</v>
      </c>
      <c r="D61" s="2" t="s">
        <v>806</v>
      </c>
      <c r="E61" s="2" t="s">
        <v>834</v>
      </c>
      <c r="F61" s="10" t="s">
        <v>835</v>
      </c>
      <c r="G61" s="10" t="s">
        <v>839</v>
      </c>
      <c r="H61" s="10" t="s">
        <v>166</v>
      </c>
      <c r="I61" s="2" t="s">
        <v>806</v>
      </c>
      <c r="J61" s="10" t="str">
        <f t="shared" si="2"/>
        <v>EP2K+</v>
      </c>
      <c r="K61" s="2" t="str">
        <f t="shared" si="3"/>
        <v>EP2K+</v>
      </c>
    </row>
    <row r="62" spans="1:11" x14ac:dyDescent="0.25">
      <c r="A62" s="10" t="s">
        <v>840</v>
      </c>
      <c r="B62" s="36" t="s">
        <v>1463</v>
      </c>
      <c r="C62" s="10" t="s">
        <v>700</v>
      </c>
      <c r="D62" s="2" t="s">
        <v>841</v>
      </c>
      <c r="E62" s="2" t="s">
        <v>834</v>
      </c>
      <c r="F62" s="10" t="s">
        <v>835</v>
      </c>
      <c r="G62" s="10" t="s">
        <v>840</v>
      </c>
      <c r="H62" s="10" t="s">
        <v>166</v>
      </c>
      <c r="I62" s="10" t="s">
        <v>841</v>
      </c>
      <c r="J62" s="10" t="str">
        <f t="shared" si="2"/>
        <v>EP2KA+</v>
      </c>
      <c r="K62" s="2" t="str">
        <f t="shared" si="3"/>
        <v>EP2KA+</v>
      </c>
    </row>
    <row r="63" spans="1:11" x14ac:dyDescent="0.25">
      <c r="A63" s="2" t="s">
        <v>842</v>
      </c>
      <c r="B63" s="36" t="s">
        <v>1464</v>
      </c>
      <c r="C63" s="10" t="s">
        <v>700</v>
      </c>
      <c r="D63" s="2" t="s">
        <v>843</v>
      </c>
      <c r="E63" s="2" t="s">
        <v>834</v>
      </c>
      <c r="F63" s="10" t="s">
        <v>835</v>
      </c>
      <c r="G63" s="10" t="s">
        <v>842</v>
      </c>
      <c r="H63" s="10" t="s">
        <v>166</v>
      </c>
      <c r="I63" s="10" t="s">
        <v>843</v>
      </c>
      <c r="J63" s="10" t="str">
        <f t="shared" si="2"/>
        <v>EP2RCW+</v>
      </c>
      <c r="K63" s="2" t="str">
        <f t="shared" si="3"/>
        <v>EP2RCW+</v>
      </c>
    </row>
    <row r="64" spans="1:11" x14ac:dyDescent="0.25">
      <c r="A64" s="10" t="s">
        <v>844</v>
      </c>
      <c r="B64" s="45" t="s">
        <v>1465</v>
      </c>
      <c r="C64" s="10" t="s">
        <v>700</v>
      </c>
      <c r="D64" s="2" t="s">
        <v>843</v>
      </c>
      <c r="E64" s="2" t="s">
        <v>834</v>
      </c>
      <c r="F64" s="10" t="s">
        <v>835</v>
      </c>
      <c r="G64" s="10" t="s">
        <v>844</v>
      </c>
      <c r="H64" s="10" t="s">
        <v>166</v>
      </c>
      <c r="I64" s="10" t="s">
        <v>845</v>
      </c>
      <c r="J64" s="10" t="str">
        <f t="shared" si="2"/>
        <v>EP4RKU+</v>
      </c>
      <c r="K64" s="2" t="str">
        <f t="shared" si="3"/>
        <v>EP4RKU+</v>
      </c>
    </row>
    <row r="65" spans="1:11" x14ac:dyDescent="0.25">
      <c r="A65" s="2" t="s">
        <v>846</v>
      </c>
      <c r="B65" s="36" t="s">
        <v>1466</v>
      </c>
      <c r="C65" s="10" t="s">
        <v>700</v>
      </c>
      <c r="D65" s="2" t="s">
        <v>787</v>
      </c>
      <c r="E65" s="2" t="s">
        <v>834</v>
      </c>
      <c r="F65" s="10" t="s">
        <v>835</v>
      </c>
      <c r="G65" s="10" t="s">
        <v>847</v>
      </c>
      <c r="H65" s="10" t="s">
        <v>166</v>
      </c>
      <c r="I65" s="10" t="s">
        <v>787</v>
      </c>
      <c r="J65" s="10" t="str">
        <f t="shared" si="2"/>
        <v>QCN-45+</v>
      </c>
      <c r="K65" s="2" t="str">
        <f t="shared" si="3"/>
        <v>QCN-45+</v>
      </c>
    </row>
    <row r="66" spans="1:11" x14ac:dyDescent="0.25">
      <c r="A66" s="2" t="s">
        <v>848</v>
      </c>
      <c r="B66" s="36" t="s">
        <v>1467</v>
      </c>
      <c r="C66" s="10" t="s">
        <v>700</v>
      </c>
      <c r="D66" s="2" t="s">
        <v>849</v>
      </c>
      <c r="E66" s="2" t="s">
        <v>834</v>
      </c>
      <c r="F66" s="10" t="s">
        <v>835</v>
      </c>
      <c r="G66" s="10" t="s">
        <v>847</v>
      </c>
      <c r="H66" s="10" t="s">
        <v>166</v>
      </c>
      <c r="I66" s="10" t="s">
        <v>849</v>
      </c>
      <c r="J66" s="10" t="str">
        <f t="shared" ref="J66:J85" si="4">A66</f>
        <v>QCS-83+</v>
      </c>
      <c r="K66" s="2" t="str">
        <f t="shared" ref="K66:K85" si="5">J66</f>
        <v>QCS-83+</v>
      </c>
    </row>
    <row r="67" spans="1:11" x14ac:dyDescent="0.25">
      <c r="A67" s="10" t="s">
        <v>850</v>
      </c>
      <c r="B67" s="45" t="s">
        <v>1468</v>
      </c>
      <c r="C67" s="10" t="s">
        <v>815</v>
      </c>
      <c r="D67" s="10" t="s">
        <v>851</v>
      </c>
      <c r="E67" s="2" t="s">
        <v>834</v>
      </c>
      <c r="F67" s="10" t="s">
        <v>835</v>
      </c>
      <c r="G67" s="10" t="s">
        <v>850</v>
      </c>
      <c r="H67" s="10" t="s">
        <v>166</v>
      </c>
      <c r="I67" s="10" t="s">
        <v>851</v>
      </c>
      <c r="J67" s="10" t="str">
        <f t="shared" si="4"/>
        <v>FPC06073</v>
      </c>
      <c r="K67" s="2" t="str">
        <f t="shared" si="5"/>
        <v>FPC06073</v>
      </c>
    </row>
    <row r="68" spans="1:11" x14ac:dyDescent="0.25">
      <c r="A68" s="10" t="s">
        <v>852</v>
      </c>
      <c r="B68" s="45" t="s">
        <v>1469</v>
      </c>
      <c r="C68" s="10" t="s">
        <v>160</v>
      </c>
      <c r="D68" s="2" t="s">
        <v>756</v>
      </c>
      <c r="E68" s="2" t="s">
        <v>834</v>
      </c>
      <c r="F68" s="10" t="s">
        <v>835</v>
      </c>
      <c r="G68" s="10" t="s">
        <v>852</v>
      </c>
      <c r="H68" s="10" t="s">
        <v>166</v>
      </c>
      <c r="I68" s="10" t="s">
        <v>756</v>
      </c>
      <c r="J68" s="10" t="str">
        <f t="shared" si="4"/>
        <v>ADL5519</v>
      </c>
      <c r="K68" s="2" t="str">
        <f t="shared" si="5"/>
        <v>ADL5519</v>
      </c>
    </row>
    <row r="69" spans="1:11" x14ac:dyDescent="0.25">
      <c r="A69" s="10" t="s">
        <v>853</v>
      </c>
      <c r="B69" s="45" t="s">
        <v>854</v>
      </c>
      <c r="C69" s="10" t="s">
        <v>710</v>
      </c>
      <c r="D69" s="10" t="s">
        <v>855</v>
      </c>
      <c r="E69" s="2" t="s">
        <v>856</v>
      </c>
      <c r="F69" s="10" t="s">
        <v>857</v>
      </c>
      <c r="G69" s="10" t="s">
        <v>853</v>
      </c>
      <c r="H69" s="10" t="s">
        <v>166</v>
      </c>
      <c r="I69" s="10" t="s">
        <v>858</v>
      </c>
      <c r="J69" s="10" t="str">
        <f t="shared" si="4"/>
        <v>CWS23902</v>
      </c>
      <c r="K69" s="2" t="str">
        <f t="shared" si="5"/>
        <v>CWS23902</v>
      </c>
    </row>
    <row r="70" spans="1:11" x14ac:dyDescent="0.25">
      <c r="A70" s="10" t="s">
        <v>859</v>
      </c>
      <c r="B70" s="36" t="s">
        <v>1470</v>
      </c>
      <c r="C70" s="10" t="s">
        <v>160</v>
      </c>
      <c r="D70" s="10" t="s">
        <v>860</v>
      </c>
      <c r="E70" s="2" t="s">
        <v>861</v>
      </c>
      <c r="F70" s="10" t="s">
        <v>862</v>
      </c>
      <c r="G70" s="10" t="s">
        <v>863</v>
      </c>
      <c r="H70" s="10" t="s">
        <v>166</v>
      </c>
      <c r="I70" s="10" t="s">
        <v>864</v>
      </c>
      <c r="J70" s="10" t="str">
        <f t="shared" si="4"/>
        <v>ADRF5024BCCZN</v>
      </c>
      <c r="K70" s="2" t="str">
        <f t="shared" si="5"/>
        <v>ADRF5024BCCZN</v>
      </c>
    </row>
    <row r="71" spans="1:11" x14ac:dyDescent="0.25">
      <c r="A71" s="10" t="s">
        <v>865</v>
      </c>
      <c r="B71" s="45" t="s">
        <v>1479</v>
      </c>
      <c r="C71" s="10" t="s">
        <v>160</v>
      </c>
      <c r="D71" t="s">
        <v>866</v>
      </c>
      <c r="E71" s="10" t="s">
        <v>861</v>
      </c>
      <c r="F71" s="10" t="s">
        <v>862</v>
      </c>
      <c r="G71" s="10" t="s">
        <v>865</v>
      </c>
      <c r="H71" s="10" t="s">
        <v>166</v>
      </c>
      <c r="I71" s="2" t="s">
        <v>867</v>
      </c>
      <c r="J71" s="10" t="str">
        <f t="shared" si="4"/>
        <v>ADRF5238</v>
      </c>
      <c r="K71" s="2" t="str">
        <f t="shared" si="5"/>
        <v>ADRF5238</v>
      </c>
    </row>
    <row r="72" spans="1:11" x14ac:dyDescent="0.25">
      <c r="A72" s="10" t="s">
        <v>868</v>
      </c>
      <c r="B72" s="47" t="s">
        <v>1471</v>
      </c>
      <c r="C72" s="10" t="s">
        <v>160</v>
      </c>
      <c r="D72" s="2" t="s">
        <v>869</v>
      </c>
      <c r="E72" s="2" t="s">
        <v>861</v>
      </c>
      <c r="F72" s="10" t="s">
        <v>862</v>
      </c>
      <c r="G72" s="10" t="s">
        <v>868</v>
      </c>
      <c r="H72" s="10" t="s">
        <v>166</v>
      </c>
      <c r="I72" s="10" t="s">
        <v>870</v>
      </c>
      <c r="J72" s="10" t="str">
        <f t="shared" si="4"/>
        <v>HMC544A</v>
      </c>
      <c r="K72" s="2" t="str">
        <f t="shared" si="5"/>
        <v>HMC544A</v>
      </c>
    </row>
    <row r="73" spans="1:11" x14ac:dyDescent="0.25">
      <c r="A73" s="10" t="s">
        <v>871</v>
      </c>
      <c r="B73" s="45" t="s">
        <v>1472</v>
      </c>
      <c r="C73" s="10" t="s">
        <v>872</v>
      </c>
      <c r="D73" s="10" t="s">
        <v>873</v>
      </c>
      <c r="E73" s="2" t="s">
        <v>861</v>
      </c>
      <c r="F73" s="10" t="s">
        <v>862</v>
      </c>
      <c r="G73" s="10" t="s">
        <v>871</v>
      </c>
      <c r="H73" s="10" t="s">
        <v>166</v>
      </c>
      <c r="I73" s="10" t="s">
        <v>873</v>
      </c>
      <c r="J73" s="10" t="str">
        <f t="shared" si="4"/>
        <v>SKY13575-639LF</v>
      </c>
      <c r="K73" s="2" t="str">
        <f t="shared" si="5"/>
        <v>SKY13575-639LF</v>
      </c>
    </row>
    <row r="74" spans="1:11" x14ac:dyDescent="0.25">
      <c r="A74" s="2" t="s">
        <v>874</v>
      </c>
      <c r="B74" s="45" t="s">
        <v>1473</v>
      </c>
      <c r="C74" s="10" t="s">
        <v>160</v>
      </c>
      <c r="D74" s="10" t="s">
        <v>875</v>
      </c>
      <c r="E74" s="10" t="s">
        <v>861</v>
      </c>
      <c r="F74" s="10" t="s">
        <v>862</v>
      </c>
      <c r="G74" s="10" t="s">
        <v>876</v>
      </c>
      <c r="H74" s="10" t="s">
        <v>166</v>
      </c>
      <c r="I74" s="10" t="s">
        <v>875</v>
      </c>
      <c r="J74" s="10" t="str">
        <f t="shared" si="4"/>
        <v>ADRF5019BCPZN</v>
      </c>
      <c r="K74" s="10" t="str">
        <f t="shared" si="5"/>
        <v>ADRF5019BCPZN</v>
      </c>
    </row>
    <row r="75" spans="1:11" x14ac:dyDescent="0.25">
      <c r="A75" s="10" t="s">
        <v>877</v>
      </c>
      <c r="B75" s="45" t="s">
        <v>1473</v>
      </c>
      <c r="C75" s="10" t="s">
        <v>160</v>
      </c>
      <c r="D75" s="10" t="s">
        <v>875</v>
      </c>
      <c r="E75" s="10" t="s">
        <v>861</v>
      </c>
      <c r="F75" s="10" t="s">
        <v>862</v>
      </c>
      <c r="G75" s="10" t="s">
        <v>876</v>
      </c>
      <c r="H75" s="10" t="s">
        <v>166</v>
      </c>
      <c r="I75" s="10" t="s">
        <v>875</v>
      </c>
      <c r="J75" s="10" t="str">
        <f t="shared" si="4"/>
        <v>HMC1118LP3DE</v>
      </c>
      <c r="K75" s="2" t="str">
        <f t="shared" si="5"/>
        <v>HMC1118LP3DE</v>
      </c>
    </row>
    <row r="76" spans="1:11" x14ac:dyDescent="0.25">
      <c r="A76" s="10" t="s">
        <v>878</v>
      </c>
      <c r="B76" s="36" t="s">
        <v>1474</v>
      </c>
      <c r="C76" s="10" t="s">
        <v>160</v>
      </c>
      <c r="D76" s="2" t="s">
        <v>756</v>
      </c>
      <c r="E76" s="2" t="s">
        <v>879</v>
      </c>
      <c r="F76" s="10" t="s">
        <v>880</v>
      </c>
      <c r="G76" s="10" t="s">
        <v>881</v>
      </c>
      <c r="H76" s="10" t="s">
        <v>166</v>
      </c>
      <c r="I76" s="2" t="s">
        <v>756</v>
      </c>
      <c r="J76" s="10" t="str">
        <f t="shared" si="4"/>
        <v>ADF5356BCPZ</v>
      </c>
      <c r="K76" s="2" t="str">
        <f t="shared" si="5"/>
        <v>ADF5356BCPZ</v>
      </c>
    </row>
    <row r="77" spans="1:11" x14ac:dyDescent="0.25">
      <c r="A77" s="2" t="s">
        <v>882</v>
      </c>
      <c r="B77" s="36" t="s">
        <v>1475</v>
      </c>
      <c r="C77" s="10" t="s">
        <v>198</v>
      </c>
      <c r="D77" s="2" t="s">
        <v>883</v>
      </c>
      <c r="E77" s="2" t="s">
        <v>879</v>
      </c>
      <c r="F77" s="10" t="s">
        <v>880</v>
      </c>
      <c r="G77" s="2" t="s">
        <v>882</v>
      </c>
      <c r="H77" s="10" t="s">
        <v>166</v>
      </c>
      <c r="I77" s="2" t="s">
        <v>884</v>
      </c>
      <c r="J77" s="10" t="str">
        <f t="shared" si="4"/>
        <v>LMX2594RHA</v>
      </c>
      <c r="K77" s="2" t="str">
        <f t="shared" si="5"/>
        <v>LMX2594RHA</v>
      </c>
    </row>
    <row r="78" spans="1:11" x14ac:dyDescent="0.25">
      <c r="A78" s="10" t="s">
        <v>885</v>
      </c>
      <c r="B78" s="36" t="s">
        <v>1476</v>
      </c>
      <c r="C78" s="10" t="s">
        <v>160</v>
      </c>
      <c r="D78" s="2" t="s">
        <v>886</v>
      </c>
      <c r="E78" s="2" t="s">
        <v>887</v>
      </c>
      <c r="F78" s="10" t="s">
        <v>888</v>
      </c>
      <c r="G78" s="10" t="s">
        <v>889</v>
      </c>
      <c r="H78" s="10" t="s">
        <v>166</v>
      </c>
      <c r="I78" s="10" t="s">
        <v>890</v>
      </c>
      <c r="J78" s="10" t="str">
        <f t="shared" si="4"/>
        <v>ADRV9025BBCZ</v>
      </c>
      <c r="K78" s="2" t="str">
        <f t="shared" si="5"/>
        <v>ADRV9025BBCZ</v>
      </c>
    </row>
    <row r="79" spans="1:11" x14ac:dyDescent="0.25">
      <c r="A79" s="10" t="s">
        <v>891</v>
      </c>
      <c r="B79" s="36" t="s">
        <v>1476</v>
      </c>
      <c r="C79" s="10" t="s">
        <v>160</v>
      </c>
      <c r="D79" s="2" t="s">
        <v>886</v>
      </c>
      <c r="E79" s="2" t="s">
        <v>887</v>
      </c>
      <c r="F79" s="10" t="s">
        <v>888</v>
      </c>
      <c r="G79" s="10" t="s">
        <v>889</v>
      </c>
      <c r="H79" s="10" t="s">
        <v>166</v>
      </c>
      <c r="I79" s="10" t="s">
        <v>890</v>
      </c>
      <c r="J79" s="10" t="str">
        <f t="shared" si="4"/>
        <v>ADRV9026BBCZ</v>
      </c>
      <c r="K79" s="2" t="str">
        <f t="shared" si="5"/>
        <v>ADRV9026BBCZ</v>
      </c>
    </row>
    <row r="80" spans="1:11" x14ac:dyDescent="0.25">
      <c r="A80" s="10" t="s">
        <v>892</v>
      </c>
      <c r="B80" s="45" t="s">
        <v>893</v>
      </c>
      <c r="C80" s="10" t="s">
        <v>894</v>
      </c>
      <c r="D80" s="10" t="s">
        <v>895</v>
      </c>
      <c r="E80" s="2" t="s">
        <v>775</v>
      </c>
      <c r="F80" s="10" t="s">
        <v>776</v>
      </c>
      <c r="G80" s="10" t="s">
        <v>892</v>
      </c>
      <c r="H80" s="10" t="s">
        <v>166</v>
      </c>
      <c r="I80" s="10" t="s">
        <v>892</v>
      </c>
      <c r="J80" s="10" t="str">
        <f t="shared" si="4"/>
        <v>ФП3П7-814-77</v>
      </c>
      <c r="K80" s="2" t="str">
        <f t="shared" si="5"/>
        <v>ФП3П7-814-77</v>
      </c>
    </row>
    <row r="81" spans="1:11" x14ac:dyDescent="0.25">
      <c r="A81" s="10" t="s">
        <v>1253</v>
      </c>
      <c r="B81" s="45" t="s">
        <v>1477</v>
      </c>
      <c r="C81" s="10" t="s">
        <v>700</v>
      </c>
      <c r="D81" s="5" t="s">
        <v>787</v>
      </c>
      <c r="E81" s="10" t="s">
        <v>1254</v>
      </c>
      <c r="F81" s="10" t="s">
        <v>835</v>
      </c>
      <c r="G81" s="10" t="s">
        <v>1253</v>
      </c>
      <c r="H81" s="10" t="s">
        <v>166</v>
      </c>
      <c r="I81" s="10" t="s">
        <v>787</v>
      </c>
      <c r="J81" s="10" t="str">
        <f t="shared" si="4"/>
        <v>BDCN-14-342+</v>
      </c>
      <c r="K81" s="5" t="str">
        <f t="shared" si="5"/>
        <v>BDCN-14-342+</v>
      </c>
    </row>
    <row r="82" spans="1:11" x14ac:dyDescent="0.25">
      <c r="A82" s="32" t="s">
        <v>1256</v>
      </c>
      <c r="B82" s="45" t="s">
        <v>1471</v>
      </c>
      <c r="C82" s="10" t="s">
        <v>160</v>
      </c>
      <c r="D82" s="32" t="s">
        <v>1255</v>
      </c>
      <c r="E82" s="10" t="s">
        <v>861</v>
      </c>
      <c r="F82" s="10" t="s">
        <v>862</v>
      </c>
      <c r="G82" s="32" t="s">
        <v>1256</v>
      </c>
      <c r="H82" s="10" t="s">
        <v>166</v>
      </c>
      <c r="I82" s="32" t="s">
        <v>1255</v>
      </c>
      <c r="J82" s="10" t="str">
        <f t="shared" si="4"/>
        <v>HMC784AMS8GE</v>
      </c>
      <c r="K82" s="5" t="str">
        <f t="shared" si="5"/>
        <v>HMC784AMS8GE</v>
      </c>
    </row>
    <row r="83" spans="1:11" x14ac:dyDescent="0.25">
      <c r="A83" s="10" t="s">
        <v>1366</v>
      </c>
      <c r="B83" s="45" t="s">
        <v>1367</v>
      </c>
      <c r="C83" s="10" t="s">
        <v>700</v>
      </c>
      <c r="D83" s="10" t="s">
        <v>1368</v>
      </c>
      <c r="E83" s="10" t="s">
        <v>702</v>
      </c>
      <c r="F83" s="10" t="s">
        <v>703</v>
      </c>
      <c r="G83" s="10" t="s">
        <v>1366</v>
      </c>
      <c r="H83" s="10" t="s">
        <v>166</v>
      </c>
      <c r="I83" s="10" t="s">
        <v>1368</v>
      </c>
      <c r="J83" s="10" t="str">
        <f t="shared" si="4"/>
        <v>ERA-3SM+</v>
      </c>
      <c r="K83" s="5" t="str">
        <f t="shared" si="5"/>
        <v>ERA-3SM+</v>
      </c>
    </row>
    <row r="84" spans="1:11" x14ac:dyDescent="0.25">
      <c r="A84" s="10" t="s">
        <v>1369</v>
      </c>
      <c r="B84" s="45" t="s">
        <v>1370</v>
      </c>
      <c r="C84" s="10" t="s">
        <v>700</v>
      </c>
      <c r="D84" s="10" t="s">
        <v>1371</v>
      </c>
      <c r="E84" s="10" t="s">
        <v>702</v>
      </c>
      <c r="F84" s="10" t="s">
        <v>703</v>
      </c>
      <c r="G84" s="10" t="s">
        <v>1369</v>
      </c>
      <c r="H84" s="10" t="s">
        <v>166</v>
      </c>
      <c r="I84" s="2" t="s">
        <v>1371</v>
      </c>
      <c r="J84" s="10" t="str">
        <f t="shared" si="4"/>
        <v>PHA-202+</v>
      </c>
      <c r="K84" s="5" t="str">
        <f t="shared" si="5"/>
        <v>PHA-202+</v>
      </c>
    </row>
    <row r="85" spans="1:11" x14ac:dyDescent="0.25">
      <c r="A85" s="48" t="s">
        <v>1372</v>
      </c>
      <c r="B85" s="45" t="s">
        <v>1483</v>
      </c>
      <c r="C85" s="10" t="s">
        <v>1247</v>
      </c>
      <c r="D85" s="10" t="s">
        <v>226</v>
      </c>
      <c r="E85" s="10" t="s">
        <v>702</v>
      </c>
      <c r="F85" s="10" t="s">
        <v>703</v>
      </c>
      <c r="G85" s="10" t="s">
        <v>1372</v>
      </c>
      <c r="H85" s="10" t="s">
        <v>166</v>
      </c>
      <c r="I85" s="10" t="s">
        <v>226</v>
      </c>
      <c r="J85" s="10" t="str">
        <f t="shared" si="4"/>
        <v>QPD1004A</v>
      </c>
      <c r="K85" s="5" t="str">
        <f t="shared" si="5"/>
        <v>QPD1004A</v>
      </c>
    </row>
  </sheetData>
  <conditionalFormatting sqref="I2:I81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31"/>
  <sheetViews>
    <sheetView showGridLines="0" workbookViewId="0">
      <selection activeCell="E32" sqref="E32"/>
    </sheetView>
  </sheetViews>
  <sheetFormatPr defaultColWidth="11.125" defaultRowHeight="15.75" x14ac:dyDescent="0.25"/>
  <cols>
    <col min="1" max="1" width="26.25" style="10" customWidth="1"/>
    <col min="2" max="2" width="54.5" style="10" customWidth="1"/>
    <col min="3" max="3" width="25.5" style="10" customWidth="1"/>
    <col min="4" max="4" width="35.625" style="10" customWidth="1"/>
    <col min="5" max="5" width="14.375" style="10" customWidth="1"/>
    <col min="6" max="6" width="35.375" style="10" customWidth="1"/>
    <col min="7" max="7" width="24" style="10" customWidth="1"/>
    <col min="8" max="8" width="41.375" style="10" customWidth="1"/>
    <col min="9" max="9" width="19.25" style="10" customWidth="1"/>
    <col min="10" max="11" width="28" style="10" customWidth="1"/>
    <col min="12" max="12" width="18.625" style="10" customWidth="1"/>
    <col min="13" max="13" width="24" style="10" customWidth="1"/>
    <col min="14" max="16384" width="11.125" style="10"/>
  </cols>
  <sheetData>
    <row r="1" spans="1:11" ht="20.100000000000001" customHeight="1" x14ac:dyDescent="0.25">
      <c r="A1" s="10" t="s">
        <v>0</v>
      </c>
      <c r="B1" s="10" t="s">
        <v>1</v>
      </c>
      <c r="C1" s="10" t="s">
        <v>2</v>
      </c>
      <c r="D1" s="10" t="s">
        <v>8</v>
      </c>
      <c r="E1" s="10" t="s">
        <v>896</v>
      </c>
      <c r="F1" s="10" t="s">
        <v>9</v>
      </c>
      <c r="G1" s="10" t="s">
        <v>10</v>
      </c>
      <c r="H1" s="10" t="s">
        <v>11</v>
      </c>
      <c r="I1" s="10" t="s">
        <v>12</v>
      </c>
      <c r="J1" s="10" t="s">
        <v>15</v>
      </c>
      <c r="K1" s="10" t="s">
        <v>16</v>
      </c>
    </row>
    <row r="2" spans="1:11" ht="20.100000000000001" customHeight="1" x14ac:dyDescent="0.25">
      <c r="A2" s="10" t="s">
        <v>897</v>
      </c>
      <c r="B2" s="10" t="s">
        <v>898</v>
      </c>
      <c r="C2" s="10" t="s">
        <v>899</v>
      </c>
      <c r="D2" s="10" t="s">
        <v>900</v>
      </c>
      <c r="E2" s="10" t="s">
        <v>901</v>
      </c>
      <c r="F2" s="10" t="s">
        <v>902</v>
      </c>
      <c r="G2" s="10" t="s">
        <v>903</v>
      </c>
      <c r="H2" s="10" t="s">
        <v>904</v>
      </c>
      <c r="I2" s="10" t="s">
        <v>897</v>
      </c>
      <c r="J2" s="10" t="str">
        <f>A2</f>
        <v>142-0761-801</v>
      </c>
      <c r="K2" s="11" t="str">
        <f t="shared" ref="K2:K26" si="0">J2</f>
        <v>142-0761-801</v>
      </c>
    </row>
    <row r="3" spans="1:11" ht="20.100000000000001" customHeight="1" x14ac:dyDescent="0.25">
      <c r="A3" s="10" t="s">
        <v>905</v>
      </c>
      <c r="B3" s="2" t="s">
        <v>906</v>
      </c>
      <c r="C3" s="10" t="s">
        <v>907</v>
      </c>
      <c r="D3" s="10" t="s">
        <v>908</v>
      </c>
      <c r="F3" s="10" t="s">
        <v>902</v>
      </c>
      <c r="G3" s="10" t="s">
        <v>905</v>
      </c>
      <c r="H3" s="10" t="s">
        <v>904</v>
      </c>
      <c r="I3" s="10" t="s">
        <v>909</v>
      </c>
      <c r="J3" s="10" t="str">
        <f t="shared" ref="J3:J26" si="1">A3</f>
        <v>53398-0471</v>
      </c>
      <c r="K3" s="11" t="str">
        <f t="shared" si="0"/>
        <v>53398-0471</v>
      </c>
    </row>
    <row r="4" spans="1:11" ht="20.100000000000001" customHeight="1" x14ac:dyDescent="0.25">
      <c r="A4" s="10" t="s">
        <v>910</v>
      </c>
      <c r="B4" s="2" t="s">
        <v>911</v>
      </c>
      <c r="C4" s="10" t="s">
        <v>907</v>
      </c>
      <c r="D4" s="10" t="s">
        <v>908</v>
      </c>
      <c r="F4" s="10" t="s">
        <v>902</v>
      </c>
      <c r="G4" s="10" t="s">
        <v>910</v>
      </c>
      <c r="H4" s="10" t="s">
        <v>904</v>
      </c>
      <c r="I4" s="10" t="s">
        <v>912</v>
      </c>
      <c r="J4" s="10" t="str">
        <f t="shared" si="1"/>
        <v>87832-1420</v>
      </c>
      <c r="K4" s="11" t="str">
        <f t="shared" si="0"/>
        <v>87832-1420</v>
      </c>
    </row>
    <row r="5" spans="1:11" ht="20.100000000000001" customHeight="1" x14ac:dyDescent="0.25">
      <c r="A5" s="10" t="s">
        <v>913</v>
      </c>
      <c r="B5" s="10" t="s">
        <v>914</v>
      </c>
      <c r="C5" s="10" t="s">
        <v>907</v>
      </c>
      <c r="D5" s="10" t="s">
        <v>908</v>
      </c>
      <c r="E5" s="10" t="s">
        <v>915</v>
      </c>
      <c r="F5" s="10" t="s">
        <v>902</v>
      </c>
      <c r="G5" s="10" t="s">
        <v>903</v>
      </c>
      <c r="H5" s="10" t="s">
        <v>904</v>
      </c>
      <c r="I5" s="10" t="s">
        <v>916</v>
      </c>
      <c r="J5" s="10" t="str">
        <f t="shared" si="1"/>
        <v>85305-0232</v>
      </c>
      <c r="K5" s="11" t="str">
        <f t="shared" si="0"/>
        <v>85305-0232</v>
      </c>
    </row>
    <row r="6" spans="1:11" ht="20.100000000000001" customHeight="1" x14ac:dyDescent="0.25">
      <c r="A6" s="10" t="s">
        <v>917</v>
      </c>
      <c r="B6" s="10" t="s">
        <v>918</v>
      </c>
      <c r="C6" s="10" t="s">
        <v>919</v>
      </c>
      <c r="D6" s="10" t="s">
        <v>900</v>
      </c>
      <c r="E6" s="10" t="s">
        <v>901</v>
      </c>
      <c r="F6" s="10" t="s">
        <v>902</v>
      </c>
      <c r="G6" s="10" t="s">
        <v>903</v>
      </c>
      <c r="H6" s="10" t="s">
        <v>904</v>
      </c>
      <c r="I6" s="10" t="s">
        <v>917</v>
      </c>
      <c r="J6" s="10" t="str">
        <f t="shared" si="1"/>
        <v>SMA-KYHDC</v>
      </c>
      <c r="K6" s="11" t="str">
        <f t="shared" si="0"/>
        <v>SMA-KYHDC</v>
      </c>
    </row>
    <row r="7" spans="1:11" ht="20.100000000000001" customHeight="1" x14ac:dyDescent="0.25">
      <c r="A7" s="10" t="s">
        <v>920</v>
      </c>
      <c r="B7" s="10" t="s">
        <v>921</v>
      </c>
      <c r="C7" s="12" t="s">
        <v>922</v>
      </c>
      <c r="D7" s="10" t="s">
        <v>923</v>
      </c>
      <c r="F7" s="10" t="s">
        <v>902</v>
      </c>
      <c r="G7" s="10" t="s">
        <v>920</v>
      </c>
      <c r="H7" s="10" t="s">
        <v>904</v>
      </c>
      <c r="I7" s="10" t="s">
        <v>924</v>
      </c>
      <c r="J7" s="10" t="str">
        <f t="shared" si="1"/>
        <v>TB006-508-02BE</v>
      </c>
      <c r="K7" s="11" t="str">
        <f t="shared" si="0"/>
        <v>TB006-508-02BE</v>
      </c>
    </row>
    <row r="8" spans="1:11" ht="20.100000000000001" customHeight="1" x14ac:dyDescent="0.25">
      <c r="A8" s="10" t="s">
        <v>925</v>
      </c>
      <c r="B8" s="2" t="s">
        <v>926</v>
      </c>
      <c r="C8" s="10" t="s">
        <v>927</v>
      </c>
      <c r="D8" s="10" t="s">
        <v>928</v>
      </c>
      <c r="F8" s="10" t="s">
        <v>902</v>
      </c>
      <c r="G8" s="10" t="s">
        <v>925</v>
      </c>
      <c r="H8" s="10" t="s">
        <v>904</v>
      </c>
      <c r="I8" s="10" t="s">
        <v>929</v>
      </c>
      <c r="J8" s="10" t="str">
        <f t="shared" si="1"/>
        <v>S2B-ZR-SM4A-TF</v>
      </c>
      <c r="K8" s="11" t="str">
        <f t="shared" si="0"/>
        <v>S2B-ZR-SM4A-TF</v>
      </c>
    </row>
    <row r="9" spans="1:11" ht="20.100000000000001" customHeight="1" x14ac:dyDescent="0.25">
      <c r="A9" s="10" t="s">
        <v>930</v>
      </c>
      <c r="B9" s="10" t="s">
        <v>931</v>
      </c>
      <c r="C9" s="10" t="s">
        <v>932</v>
      </c>
      <c r="D9" s="10" t="s">
        <v>933</v>
      </c>
      <c r="F9" s="10" t="s">
        <v>902</v>
      </c>
      <c r="G9" s="10" t="s">
        <v>930</v>
      </c>
      <c r="H9" s="10" t="s">
        <v>904</v>
      </c>
      <c r="J9" s="10" t="str">
        <f t="shared" si="1"/>
        <v>SOLC-120-02-F-Q-A-K-TR</v>
      </c>
      <c r="K9" s="11" t="str">
        <f t="shared" si="0"/>
        <v>SOLC-120-02-F-Q-A-K-TR</v>
      </c>
    </row>
    <row r="10" spans="1:11" ht="20.100000000000001" customHeight="1" x14ac:dyDescent="0.25">
      <c r="A10" s="10" t="s">
        <v>934</v>
      </c>
      <c r="B10" s="10" t="s">
        <v>935</v>
      </c>
      <c r="C10" s="10" t="s">
        <v>936</v>
      </c>
      <c r="D10" s="10" t="s">
        <v>900</v>
      </c>
      <c r="E10" s="10" t="s">
        <v>937</v>
      </c>
      <c r="F10" s="10" t="s">
        <v>902</v>
      </c>
      <c r="G10" s="10" t="s">
        <v>903</v>
      </c>
      <c r="H10" s="10" t="s">
        <v>904</v>
      </c>
      <c r="I10" s="10" t="s">
        <v>934</v>
      </c>
      <c r="J10" s="10" t="str">
        <f t="shared" si="1"/>
        <v>SMP-MSLD-PCT-6</v>
      </c>
      <c r="K10" s="10" t="str">
        <f t="shared" si="0"/>
        <v>SMP-MSLD-PCT-6</v>
      </c>
    </row>
    <row r="11" spans="1:11" ht="20.100000000000001" customHeight="1" x14ac:dyDescent="0.25">
      <c r="A11" s="10" t="s">
        <v>938</v>
      </c>
      <c r="B11" s="10" t="s">
        <v>939</v>
      </c>
      <c r="C11" s="10" t="s">
        <v>936</v>
      </c>
      <c r="D11" s="10" t="s">
        <v>900</v>
      </c>
      <c r="E11" s="10" t="s">
        <v>915</v>
      </c>
      <c r="F11" s="10" t="s">
        <v>902</v>
      </c>
      <c r="G11" s="10" t="s">
        <v>903</v>
      </c>
      <c r="H11" s="10" t="s">
        <v>904</v>
      </c>
      <c r="I11" s="10" t="s">
        <v>938</v>
      </c>
      <c r="J11" s="10" t="str">
        <f t="shared" si="1"/>
        <v>SMP-MSSB-PCS</v>
      </c>
      <c r="K11" s="10" t="str">
        <f t="shared" si="0"/>
        <v>SMP-MSSB-PCS</v>
      </c>
    </row>
    <row r="12" spans="1:11" ht="20.100000000000001" customHeight="1" x14ac:dyDescent="0.25">
      <c r="A12" s="10" t="s">
        <v>940</v>
      </c>
      <c r="B12" s="2" t="s">
        <v>941</v>
      </c>
      <c r="C12" s="10" t="s">
        <v>907</v>
      </c>
      <c r="D12" s="2" t="s">
        <v>942</v>
      </c>
      <c r="F12" s="10" t="s">
        <v>902</v>
      </c>
      <c r="G12" s="10" t="s">
        <v>940</v>
      </c>
      <c r="H12" s="10" t="s">
        <v>904</v>
      </c>
      <c r="J12" s="10" t="str">
        <f t="shared" si="1"/>
        <v>47352-1001</v>
      </c>
      <c r="K12" s="10" t="str">
        <f t="shared" si="0"/>
        <v>47352-1001</v>
      </c>
    </row>
    <row r="13" spans="1:11" ht="20.100000000000001" customHeight="1" x14ac:dyDescent="0.25">
      <c r="A13" s="10" t="s">
        <v>943</v>
      </c>
      <c r="B13" s="10" t="s">
        <v>944</v>
      </c>
      <c r="C13" s="10" t="s">
        <v>945</v>
      </c>
      <c r="D13" s="10" t="s">
        <v>923</v>
      </c>
      <c r="F13" s="10" t="s">
        <v>902</v>
      </c>
      <c r="G13" s="10" t="s">
        <v>943</v>
      </c>
      <c r="H13" s="10" t="s">
        <v>904</v>
      </c>
      <c r="I13" s="10" t="s">
        <v>943</v>
      </c>
      <c r="J13" s="10" t="str">
        <f t="shared" si="1"/>
        <v>PJ-002B</v>
      </c>
      <c r="K13" s="10" t="str">
        <f t="shared" si="0"/>
        <v>PJ-002B</v>
      </c>
    </row>
    <row r="14" spans="1:11" ht="20.100000000000001" customHeight="1" x14ac:dyDescent="0.25">
      <c r="A14" s="10" t="s">
        <v>946</v>
      </c>
      <c r="B14" s="10" t="s">
        <v>947</v>
      </c>
      <c r="C14" s="10" t="s">
        <v>948</v>
      </c>
      <c r="D14" s="10" t="s">
        <v>942</v>
      </c>
      <c r="F14" s="10" t="s">
        <v>902</v>
      </c>
      <c r="G14" s="10" t="s">
        <v>946</v>
      </c>
      <c r="H14" s="10" t="s">
        <v>904</v>
      </c>
      <c r="J14" s="10" t="str">
        <f t="shared" si="1"/>
        <v>ZX62R-B-5P</v>
      </c>
      <c r="K14" s="10" t="str">
        <f t="shared" si="0"/>
        <v>ZX62R-B-5P</v>
      </c>
    </row>
    <row r="15" spans="1:11" ht="20.100000000000001" customHeight="1" x14ac:dyDescent="0.25">
      <c r="A15" s="10" t="s">
        <v>949</v>
      </c>
      <c r="B15" s="2" t="s">
        <v>950</v>
      </c>
      <c r="C15" s="10" t="s">
        <v>951</v>
      </c>
      <c r="D15" s="10" t="s">
        <v>933</v>
      </c>
      <c r="F15" s="10" t="s">
        <v>902</v>
      </c>
      <c r="G15" s="13" t="s">
        <v>952</v>
      </c>
      <c r="H15" s="10" t="s">
        <v>904</v>
      </c>
      <c r="I15" s="10" t="s">
        <v>953</v>
      </c>
      <c r="J15" s="10" t="s">
        <v>953</v>
      </c>
      <c r="K15" s="10" t="str">
        <f t="shared" si="0"/>
        <v>ADM6-60-01.5-L-4-2-A-TR</v>
      </c>
    </row>
    <row r="16" spans="1:11" ht="20.100000000000001" customHeight="1" x14ac:dyDescent="0.25">
      <c r="A16" s="10" t="s">
        <v>954</v>
      </c>
      <c r="B16" s="2" t="s">
        <v>950</v>
      </c>
      <c r="C16" s="10" t="s">
        <v>951</v>
      </c>
      <c r="D16" s="10" t="s">
        <v>933</v>
      </c>
      <c r="F16" s="10" t="s">
        <v>902</v>
      </c>
      <c r="G16" s="13" t="s">
        <v>955</v>
      </c>
      <c r="H16" s="10" t="s">
        <v>904</v>
      </c>
      <c r="I16" s="10" t="s">
        <v>953</v>
      </c>
      <c r="J16" s="10" t="s">
        <v>953</v>
      </c>
      <c r="K16" s="10" t="str">
        <f t="shared" si="0"/>
        <v>ADM6-60-01.5-L-4-2-A-TR</v>
      </c>
    </row>
    <row r="17" spans="1:11" ht="20.100000000000001" customHeight="1" x14ac:dyDescent="0.25">
      <c r="A17" s="10" t="s">
        <v>956</v>
      </c>
      <c r="B17" s="10" t="s">
        <v>957</v>
      </c>
      <c r="C17" s="10" t="s">
        <v>656</v>
      </c>
      <c r="D17" s="10" t="s">
        <v>942</v>
      </c>
      <c r="F17" s="10" t="s">
        <v>902</v>
      </c>
      <c r="G17" s="10" t="s">
        <v>956</v>
      </c>
      <c r="H17" s="10" t="s">
        <v>904</v>
      </c>
      <c r="J17" s="10" t="str">
        <f t="shared" si="1"/>
        <v>J0G-0001NL</v>
      </c>
      <c r="K17" s="10" t="str">
        <f t="shared" si="0"/>
        <v>J0G-0001NL</v>
      </c>
    </row>
    <row r="18" spans="1:11" ht="20.100000000000001" customHeight="1" x14ac:dyDescent="0.25">
      <c r="A18" s="10" t="s">
        <v>958</v>
      </c>
      <c r="B18" s="10" t="s">
        <v>959</v>
      </c>
      <c r="C18" s="10" t="s">
        <v>960</v>
      </c>
      <c r="D18" s="10" t="s">
        <v>908</v>
      </c>
      <c r="F18" s="10" t="s">
        <v>902</v>
      </c>
      <c r="G18" s="10" t="s">
        <v>958</v>
      </c>
      <c r="H18" s="10" t="s">
        <v>904</v>
      </c>
      <c r="I18" t="s">
        <v>958</v>
      </c>
      <c r="J18" s="10" t="str">
        <f t="shared" si="1"/>
        <v>20021321-00050T4LF</v>
      </c>
      <c r="K18" s="10" t="str">
        <f t="shared" si="0"/>
        <v>20021321-00050T4LF</v>
      </c>
    </row>
    <row r="19" spans="1:11" ht="20.100000000000001" customHeight="1" x14ac:dyDescent="0.25">
      <c r="A19" s="10" t="s">
        <v>961</v>
      </c>
      <c r="B19" s="10" t="s">
        <v>962</v>
      </c>
      <c r="C19" s="10" t="s">
        <v>963</v>
      </c>
      <c r="D19" s="10" t="s">
        <v>933</v>
      </c>
      <c r="F19" s="10" t="s">
        <v>902</v>
      </c>
      <c r="G19" s="10" t="s">
        <v>961</v>
      </c>
      <c r="H19" s="10" t="s">
        <v>904</v>
      </c>
      <c r="J19" s="10" t="str">
        <f t="shared" si="1"/>
        <v>2199119-2</v>
      </c>
      <c r="K19" s="10" t="str">
        <f t="shared" si="0"/>
        <v>2199119-2</v>
      </c>
    </row>
    <row r="20" spans="1:11" ht="20.100000000000001" customHeight="1" x14ac:dyDescent="0.25">
      <c r="A20" s="10" t="s">
        <v>964</v>
      </c>
      <c r="B20" s="10" t="s">
        <v>965</v>
      </c>
      <c r="C20" s="10" t="s">
        <v>966</v>
      </c>
      <c r="D20" s="10" t="s">
        <v>923</v>
      </c>
      <c r="F20" s="10" t="s">
        <v>902</v>
      </c>
      <c r="G20" s="10" t="s">
        <v>967</v>
      </c>
      <c r="H20" s="10" t="s">
        <v>904</v>
      </c>
      <c r="J20" s="10" t="str">
        <f t="shared" si="1"/>
        <v>15EDGRC-3.81-06P-14-00A(H)</v>
      </c>
      <c r="K20" s="10" t="str">
        <f t="shared" si="0"/>
        <v>15EDGRC-3.81-06P-14-00A(H)</v>
      </c>
    </row>
    <row r="21" spans="1:11" ht="20.100000000000001" customHeight="1" x14ac:dyDescent="0.25">
      <c r="A21" s="10" t="s">
        <v>968</v>
      </c>
      <c r="B21" s="10" t="s">
        <v>969</v>
      </c>
      <c r="C21" s="10" t="s">
        <v>644</v>
      </c>
      <c r="D21" s="10" t="s">
        <v>908</v>
      </c>
      <c r="F21" s="10" t="s">
        <v>902</v>
      </c>
      <c r="G21" s="10" t="s">
        <v>968</v>
      </c>
      <c r="H21" s="10" t="s">
        <v>904</v>
      </c>
      <c r="J21" s="10" t="str">
        <f t="shared" si="1"/>
        <v>61202021621</v>
      </c>
      <c r="K21" s="10" t="str">
        <f t="shared" si="0"/>
        <v>61202021621</v>
      </c>
    </row>
    <row r="22" spans="1:11" ht="20.100000000000001" customHeight="1" x14ac:dyDescent="0.25">
      <c r="A22" s="10" t="s">
        <v>970</v>
      </c>
      <c r="B22" s="10" t="s">
        <v>971</v>
      </c>
      <c r="C22" s="10" t="s">
        <v>936</v>
      </c>
      <c r="D22" s="10" t="s">
        <v>942</v>
      </c>
      <c r="F22" s="10" t="s">
        <v>902</v>
      </c>
      <c r="G22" s="10" t="s">
        <v>970</v>
      </c>
      <c r="H22" s="10" t="s">
        <v>904</v>
      </c>
      <c r="J22" s="10" t="str">
        <f t="shared" si="1"/>
        <v>G14A421211112HR</v>
      </c>
      <c r="K22" s="10" t="str">
        <f t="shared" si="0"/>
        <v>G14A421211112HR</v>
      </c>
    </row>
    <row r="23" spans="1:11" x14ac:dyDescent="0.25">
      <c r="A23" s="10" t="s">
        <v>972</v>
      </c>
      <c r="B23" s="10" t="s">
        <v>973</v>
      </c>
      <c r="C23" s="10" t="s">
        <v>936</v>
      </c>
      <c r="D23" s="10" t="s">
        <v>942</v>
      </c>
      <c r="F23" s="10" t="s">
        <v>902</v>
      </c>
      <c r="G23" s="10" t="s">
        <v>972</v>
      </c>
      <c r="H23" s="10" t="s">
        <v>904</v>
      </c>
      <c r="I23" s="10" t="s">
        <v>972</v>
      </c>
      <c r="J23" s="10" t="str">
        <f t="shared" si="1"/>
        <v>G14A42221612AHR</v>
      </c>
      <c r="K23" s="10" t="str">
        <f t="shared" si="0"/>
        <v>G14A42221612AHR</v>
      </c>
    </row>
    <row r="24" spans="1:11" x14ac:dyDescent="0.25">
      <c r="A24" s="10" t="s">
        <v>974</v>
      </c>
      <c r="B24" s="10" t="s">
        <v>975</v>
      </c>
      <c r="C24" s="10" t="s">
        <v>976</v>
      </c>
      <c r="D24" s="10" t="s">
        <v>923</v>
      </c>
      <c r="F24" s="10" t="s">
        <v>902</v>
      </c>
      <c r="G24" s="10" t="s">
        <v>974</v>
      </c>
      <c r="H24" s="10" t="s">
        <v>904</v>
      </c>
      <c r="I24" s="10" t="s">
        <v>974</v>
      </c>
      <c r="J24" s="10" t="str">
        <f t="shared" si="1"/>
        <v>1586037-4</v>
      </c>
      <c r="K24" s="10" t="str">
        <f t="shared" si="0"/>
        <v>1586037-4</v>
      </c>
    </row>
    <row r="25" spans="1:11" x14ac:dyDescent="0.25">
      <c r="A25" s="28" t="s">
        <v>977</v>
      </c>
      <c r="B25" s="10" t="s">
        <v>978</v>
      </c>
      <c r="C25" s="10" t="s">
        <v>979</v>
      </c>
      <c r="D25" s="10" t="s">
        <v>900</v>
      </c>
      <c r="E25" s="10" t="s">
        <v>980</v>
      </c>
      <c r="F25" s="10" t="s">
        <v>902</v>
      </c>
      <c r="G25" s="10" t="s">
        <v>903</v>
      </c>
      <c r="H25" s="10" t="s">
        <v>904</v>
      </c>
      <c r="I25" s="10" t="s">
        <v>977</v>
      </c>
      <c r="J25" s="10" t="str">
        <f t="shared" si="1"/>
        <v>81_SMP-S50-0-L1/111_N</v>
      </c>
      <c r="K25" s="10" t="str">
        <f t="shared" si="0"/>
        <v>81_SMP-S50-0-L1/111_N</v>
      </c>
    </row>
    <row r="26" spans="1:11" x14ac:dyDescent="0.25">
      <c r="A26" s="10" t="s">
        <v>981</v>
      </c>
      <c r="B26" s="10" t="s">
        <v>982</v>
      </c>
      <c r="C26" s="10" t="s">
        <v>983</v>
      </c>
      <c r="D26" s="10" t="s">
        <v>908</v>
      </c>
      <c r="F26" s="10" t="s">
        <v>902</v>
      </c>
      <c r="G26" s="10" t="s">
        <v>981</v>
      </c>
      <c r="H26" s="10" t="s">
        <v>904</v>
      </c>
      <c r="I26" s="10" t="s">
        <v>981</v>
      </c>
      <c r="J26" s="10" t="str">
        <f t="shared" si="1"/>
        <v>S04B-PASK-2</v>
      </c>
      <c r="K26" s="10" t="str">
        <f t="shared" si="0"/>
        <v>S04B-PASK-2</v>
      </c>
    </row>
    <row r="27" spans="1:11" x14ac:dyDescent="0.25">
      <c r="B27" s="2"/>
    </row>
    <row r="31" spans="1:11" x14ac:dyDescent="0.25">
      <c r="A31" s="2"/>
      <c r="E31" s="2"/>
      <c r="I31" s="2"/>
    </row>
  </sheetData>
  <conditionalFormatting sqref="I2:I26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8"/>
  <sheetViews>
    <sheetView showGridLines="0" workbookViewId="0">
      <selection activeCell="F8" sqref="F8"/>
    </sheetView>
  </sheetViews>
  <sheetFormatPr defaultRowHeight="15.75" x14ac:dyDescent="0.25"/>
  <cols>
    <col min="1" max="1" width="15.625" style="2" customWidth="1"/>
    <col min="2" max="2" width="32.625" style="2" customWidth="1"/>
    <col min="3" max="3" width="25.125" style="2" customWidth="1"/>
    <col min="4" max="4" width="18.75" style="2" customWidth="1"/>
    <col min="5" max="5" width="34.125" style="2" customWidth="1"/>
    <col min="6" max="6" width="20.375" style="2" customWidth="1"/>
    <col min="7" max="7" width="34.875" style="2" customWidth="1"/>
    <col min="8" max="8" width="16.5" style="2" customWidth="1"/>
    <col min="9" max="9" width="13" style="2" customWidth="1"/>
    <col min="10" max="10" width="11.875" style="2" customWidth="1"/>
    <col min="11" max="16384" width="9" style="2"/>
  </cols>
  <sheetData>
    <row r="1" spans="1:10" x14ac:dyDescent="0.25">
      <c r="A1" s="10" t="s">
        <v>0</v>
      </c>
      <c r="B1" s="10" t="s">
        <v>1</v>
      </c>
      <c r="C1" s="10" t="s">
        <v>2</v>
      </c>
      <c r="D1" s="10" t="s">
        <v>8</v>
      </c>
      <c r="E1" s="10" t="s">
        <v>9</v>
      </c>
      <c r="F1" s="10" t="s">
        <v>10</v>
      </c>
      <c r="G1" s="10" t="s">
        <v>156</v>
      </c>
      <c r="H1" s="10" t="s">
        <v>157</v>
      </c>
      <c r="I1" s="10" t="s">
        <v>15</v>
      </c>
      <c r="J1" s="10" t="s">
        <v>16</v>
      </c>
    </row>
    <row r="2" spans="1:10" x14ac:dyDescent="0.25">
      <c r="A2" s="2" t="s">
        <v>984</v>
      </c>
      <c r="B2" s="2" t="s">
        <v>985</v>
      </c>
      <c r="C2" s="2" t="s">
        <v>578</v>
      </c>
      <c r="D2" s="2" t="s">
        <v>986</v>
      </c>
      <c r="E2" s="2" t="s">
        <v>987</v>
      </c>
      <c r="F2" s="2" t="s">
        <v>988</v>
      </c>
      <c r="G2" s="10" t="s">
        <v>989</v>
      </c>
      <c r="H2" s="2" t="s">
        <v>990</v>
      </c>
      <c r="I2" s="2" t="str">
        <f>"Q-"&amp;F2</f>
        <v>Q-Si4101DY</v>
      </c>
      <c r="J2" s="2" t="str">
        <f>I2</f>
        <v>Q-Si4101DY</v>
      </c>
    </row>
    <row r="3" spans="1:10" x14ac:dyDescent="0.25">
      <c r="A3" s="2" t="s">
        <v>991</v>
      </c>
      <c r="B3" s="2" t="s">
        <v>992</v>
      </c>
      <c r="C3" s="2" t="s">
        <v>993</v>
      </c>
      <c r="D3" s="2" t="s">
        <v>1250</v>
      </c>
      <c r="E3" s="2" t="s">
        <v>987</v>
      </c>
      <c r="F3" s="2" t="s">
        <v>991</v>
      </c>
      <c r="G3" s="10" t="s">
        <v>989</v>
      </c>
      <c r="H3" s="2" t="s">
        <v>994</v>
      </c>
      <c r="I3" s="2" t="str">
        <f>"Q-"&amp;F3</f>
        <v>Q-BC817</v>
      </c>
      <c r="J3" s="2" t="str">
        <f>I3</f>
        <v>Q-BC817</v>
      </c>
    </row>
    <row r="4" spans="1:10" x14ac:dyDescent="0.25">
      <c r="A4" s="2" t="s">
        <v>995</v>
      </c>
      <c r="B4" s="2" t="s">
        <v>996</v>
      </c>
      <c r="C4" s="2" t="s">
        <v>997</v>
      </c>
      <c r="D4" s="2" t="s">
        <v>998</v>
      </c>
      <c r="E4" s="2" t="s">
        <v>987</v>
      </c>
      <c r="F4" s="2" t="s">
        <v>995</v>
      </c>
      <c r="G4" s="10" t="s">
        <v>989</v>
      </c>
      <c r="H4" s="2" t="s">
        <v>994</v>
      </c>
      <c r="I4" s="2" t="str">
        <f>"Q-"&amp;F4</f>
        <v>Q-IRLML2060TRPBF</v>
      </c>
      <c r="J4" s="2" t="str">
        <f>I4</f>
        <v>Q-IRLML2060TRPBF</v>
      </c>
    </row>
    <row r="5" spans="1:10" x14ac:dyDescent="0.25">
      <c r="A5" s="2" t="s">
        <v>999</v>
      </c>
      <c r="B5" s="2" t="s">
        <v>1000</v>
      </c>
      <c r="C5" s="2" t="s">
        <v>578</v>
      </c>
      <c r="D5" s="2" t="s">
        <v>998</v>
      </c>
      <c r="E5" s="2" t="s">
        <v>987</v>
      </c>
      <c r="F5" s="2" t="s">
        <v>999</v>
      </c>
      <c r="G5" s="10" t="s">
        <v>989</v>
      </c>
      <c r="I5" s="2" t="str">
        <f>"Q-"&amp;F5</f>
        <v>Q-Si7232DN</v>
      </c>
      <c r="J5" s="2" t="str">
        <f>I5</f>
        <v>Q-Si7232DN</v>
      </c>
    </row>
    <row r="6" spans="1:10" x14ac:dyDescent="0.25">
      <c r="A6" s="2" t="s">
        <v>1561</v>
      </c>
      <c r="B6" s="2" t="s">
        <v>1560</v>
      </c>
      <c r="C6" s="2" t="s">
        <v>997</v>
      </c>
      <c r="D6" s="5" t="s">
        <v>986</v>
      </c>
      <c r="E6" s="5" t="s">
        <v>987</v>
      </c>
      <c r="F6" s="2" t="s">
        <v>1561</v>
      </c>
      <c r="G6" s="10" t="s">
        <v>989</v>
      </c>
      <c r="H6" s="2" t="s">
        <v>1562</v>
      </c>
      <c r="I6" s="5" t="str">
        <f>"Q-"&amp;F6</f>
        <v>Q-IRFR5410TRPBF</v>
      </c>
      <c r="J6" s="5" t="str">
        <f>I6</f>
        <v>Q-IRFR5410TRPBF</v>
      </c>
    </row>
    <row r="7" spans="1:10" x14ac:dyDescent="0.25">
      <c r="A7" s="2" t="s">
        <v>1563</v>
      </c>
      <c r="B7" s="2" t="s">
        <v>1564</v>
      </c>
      <c r="C7" s="5" t="s">
        <v>993</v>
      </c>
      <c r="D7" s="5" t="s">
        <v>998</v>
      </c>
      <c r="E7" s="5" t="s">
        <v>987</v>
      </c>
      <c r="F7" s="5" t="s">
        <v>1563</v>
      </c>
      <c r="G7" s="10" t="s">
        <v>989</v>
      </c>
      <c r="H7" s="2" t="s">
        <v>1329</v>
      </c>
      <c r="I7" s="5" t="str">
        <f>"Q-"&amp;F7</f>
        <v>Q-2N7002DW</v>
      </c>
      <c r="J7" s="5" t="str">
        <f>I7</f>
        <v>Q-2N7002DW</v>
      </c>
    </row>
    <row r="8" spans="1:10" x14ac:dyDescent="0.25">
      <c r="A8" s="2" t="s">
        <v>1578</v>
      </c>
      <c r="B8" s="2" t="s">
        <v>1579</v>
      </c>
      <c r="C8" s="5" t="s">
        <v>993</v>
      </c>
      <c r="D8" s="5" t="s">
        <v>998</v>
      </c>
      <c r="E8" s="5" t="s">
        <v>987</v>
      </c>
      <c r="F8" s="5" t="s">
        <v>1578</v>
      </c>
      <c r="G8" s="10" t="s">
        <v>989</v>
      </c>
      <c r="H8" s="5" t="s">
        <v>994</v>
      </c>
      <c r="I8" s="5" t="str">
        <f>"Q-"&amp;F8</f>
        <v>Q-BSS123</v>
      </c>
      <c r="J8" s="5" t="str">
        <f>I8</f>
        <v>Q-BSS123</v>
      </c>
    </row>
  </sheetData>
  <conditionalFormatting sqref="H2:H8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BABBA-8FB1-4A06-9817-B7D736D6A608}">
  <dimension ref="A1:J7"/>
  <sheetViews>
    <sheetView workbookViewId="0">
      <selection activeCell="G21" sqref="G21"/>
    </sheetView>
  </sheetViews>
  <sheetFormatPr defaultRowHeight="15.75" x14ac:dyDescent="0.25"/>
  <cols>
    <col min="1" max="1" width="19.375" customWidth="1"/>
    <col min="2" max="2" width="37.375" customWidth="1"/>
    <col min="3" max="3" width="18.625" customWidth="1"/>
    <col min="4" max="4" width="16.125" customWidth="1"/>
    <col min="5" max="5" width="18" customWidth="1"/>
    <col min="6" max="6" width="16.625" customWidth="1"/>
    <col min="7" max="7" width="33.125" customWidth="1"/>
    <col min="8" max="8" width="22.625" customWidth="1"/>
    <col min="9" max="9" width="13.375" customWidth="1"/>
    <col min="10" max="10" width="22.75" customWidth="1"/>
    <col min="11" max="11" width="26.125" customWidth="1"/>
  </cols>
  <sheetData>
    <row r="1" spans="1:10" x14ac:dyDescent="0.25">
      <c r="A1" s="10" t="s">
        <v>0</v>
      </c>
      <c r="B1" s="10" t="s">
        <v>1</v>
      </c>
      <c r="C1" s="10" t="s">
        <v>2</v>
      </c>
      <c r="D1" s="10" t="s">
        <v>3</v>
      </c>
      <c r="E1" s="10" t="s">
        <v>9</v>
      </c>
      <c r="F1" s="10" t="s">
        <v>10</v>
      </c>
      <c r="G1" s="10" t="s">
        <v>156</v>
      </c>
      <c r="H1" s="10" t="s">
        <v>157</v>
      </c>
      <c r="I1" s="10" t="s">
        <v>15</v>
      </c>
      <c r="J1" s="10" t="s">
        <v>16</v>
      </c>
    </row>
    <row r="2" spans="1:10" x14ac:dyDescent="0.25">
      <c r="A2" s="48" t="s">
        <v>1001</v>
      </c>
      <c r="B2" s="3" t="s">
        <v>1494</v>
      </c>
      <c r="C2" s="5" t="s">
        <v>1003</v>
      </c>
      <c r="D2" s="5" t="s">
        <v>1004</v>
      </c>
      <c r="E2" s="10" t="s">
        <v>1005</v>
      </c>
      <c r="F2" s="10" t="s">
        <v>1006</v>
      </c>
      <c r="G2" s="10" t="s">
        <v>1007</v>
      </c>
      <c r="H2" s="5" t="s">
        <v>1004</v>
      </c>
      <c r="I2" s="11" t="str">
        <f>"D-"&amp;A2</f>
        <v>D-SS24FL</v>
      </c>
      <c r="J2" s="5" t="str">
        <f t="shared" ref="J2:J3" si="0">I2</f>
        <v>D-SS24FL</v>
      </c>
    </row>
    <row r="3" spans="1:10" s="10" customFormat="1" x14ac:dyDescent="0.25">
      <c r="A3" s="44" t="s">
        <v>1008</v>
      </c>
      <c r="B3" s="3" t="s">
        <v>1495</v>
      </c>
      <c r="C3" s="10" t="s">
        <v>1003</v>
      </c>
      <c r="D3" s="5" t="s">
        <v>1010</v>
      </c>
      <c r="E3" s="10" t="s">
        <v>1005</v>
      </c>
      <c r="F3" s="10" t="s">
        <v>1006</v>
      </c>
      <c r="G3" s="10" t="s">
        <v>1007</v>
      </c>
      <c r="H3" s="11" t="s">
        <v>1010</v>
      </c>
      <c r="I3" s="11" t="str">
        <f>"D-"&amp;A3</f>
        <v>D-MBRA160T3G</v>
      </c>
      <c r="J3" s="11" t="str">
        <f t="shared" si="0"/>
        <v>D-MBRA160T3G</v>
      </c>
    </row>
    <row r="4" spans="1:10" x14ac:dyDescent="0.25">
      <c r="A4" s="44" t="s">
        <v>1268</v>
      </c>
      <c r="B4" s="33" t="s">
        <v>1496</v>
      </c>
      <c r="C4" s="5" t="s">
        <v>1270</v>
      </c>
      <c r="D4" s="5" t="s">
        <v>1269</v>
      </c>
      <c r="E4" s="10" t="s">
        <v>1005</v>
      </c>
      <c r="F4" s="10" t="s">
        <v>1006</v>
      </c>
      <c r="G4" s="10" t="s">
        <v>1007</v>
      </c>
      <c r="H4" s="5" t="s">
        <v>1269</v>
      </c>
      <c r="I4" s="11" t="str">
        <f>"D-"&amp;A4</f>
        <v>D-SS54B</v>
      </c>
      <c r="J4" s="11" t="str">
        <f>I4</f>
        <v>D-SS54B</v>
      </c>
    </row>
    <row r="5" spans="1:10" x14ac:dyDescent="0.25">
      <c r="A5" s="44" t="s">
        <v>1302</v>
      </c>
      <c r="B5" s="5" t="s">
        <v>1303</v>
      </c>
      <c r="C5" s="5" t="s">
        <v>1304</v>
      </c>
      <c r="D5" s="33" t="s">
        <v>1305</v>
      </c>
      <c r="E5" s="10" t="s">
        <v>1005</v>
      </c>
      <c r="F5" s="10" t="s">
        <v>1006</v>
      </c>
      <c r="G5" s="10" t="s">
        <v>1007</v>
      </c>
      <c r="H5" s="33" t="s">
        <v>1305</v>
      </c>
      <c r="I5" s="11" t="str">
        <f>"D-"&amp;A5</f>
        <v>D-RB058LAM-60</v>
      </c>
      <c r="J5" s="11" t="str">
        <f>I5</f>
        <v>D-RB058LAM-60</v>
      </c>
    </row>
    <row r="6" spans="1:10" x14ac:dyDescent="0.25">
      <c r="A6" s="44" t="s">
        <v>1493</v>
      </c>
      <c r="B6" s="5" t="s">
        <v>1498</v>
      </c>
      <c r="C6" s="44" t="s">
        <v>1497</v>
      </c>
      <c r="D6" s="44" t="s">
        <v>1499</v>
      </c>
      <c r="E6" s="10" t="s">
        <v>1005</v>
      </c>
      <c r="F6" s="10" t="s">
        <v>1006</v>
      </c>
      <c r="G6" s="10" t="s">
        <v>1007</v>
      </c>
      <c r="H6" s="44" t="s">
        <v>1499</v>
      </c>
      <c r="I6" s="11" t="str">
        <f>"D-"&amp;A6</f>
        <v>D-B3100-13-F</v>
      </c>
      <c r="J6" s="11" t="str">
        <f>I6</f>
        <v>D-B3100-13-F</v>
      </c>
    </row>
    <row r="7" spans="1:10" x14ac:dyDescent="0.25">
      <c r="A7" s="5" t="s">
        <v>1594</v>
      </c>
      <c r="B7" s="5" t="s">
        <v>1593</v>
      </c>
      <c r="C7" s="44" t="s">
        <v>578</v>
      </c>
      <c r="D7" s="5" t="s">
        <v>1010</v>
      </c>
      <c r="E7" s="10" t="s">
        <v>1005</v>
      </c>
      <c r="F7" s="10" t="s">
        <v>1006</v>
      </c>
      <c r="G7" s="10" t="s">
        <v>1007</v>
      </c>
      <c r="H7" s="11" t="s">
        <v>1010</v>
      </c>
      <c r="I7" s="11" t="str">
        <f>"D-"&amp;A7</f>
        <v>D-US1B-E3/5AT</v>
      </c>
      <c r="J7" s="11" t="str">
        <f>I7</f>
        <v>D-US1B-E3/5AT</v>
      </c>
    </row>
  </sheetData>
  <conditionalFormatting sqref="H2:H3">
    <cfRule type="containsBlanks" priority="2"/>
  </conditionalFormatting>
  <conditionalFormatting sqref="H7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28"/>
  <sheetViews>
    <sheetView showGridLines="0" topLeftCell="B1" workbookViewId="0">
      <selection activeCell="H26" sqref="H26"/>
    </sheetView>
  </sheetViews>
  <sheetFormatPr defaultColWidth="11.125" defaultRowHeight="15.75" x14ac:dyDescent="0.25"/>
  <cols>
    <col min="1" max="1" width="49" style="10" customWidth="1"/>
    <col min="2" max="2" width="71.25" style="10" customWidth="1"/>
    <col min="3" max="3" width="33.125" style="10" customWidth="1"/>
    <col min="4" max="4" width="16.125" style="10" customWidth="1"/>
    <col min="5" max="5" width="26.5" style="10" customWidth="1"/>
    <col min="6" max="6" width="24" style="10" customWidth="1"/>
    <col min="7" max="7" width="27.875" style="10" customWidth="1"/>
    <col min="8" max="8" width="14.625" style="10" customWidth="1"/>
    <col min="9" max="9" width="23.125" style="10" customWidth="1"/>
    <col min="10" max="10" width="22.375" style="10" customWidth="1"/>
    <col min="11" max="16384" width="11.125" style="10"/>
  </cols>
  <sheetData>
    <row r="1" spans="1:10" x14ac:dyDescent="0.25">
      <c r="A1" s="10" t="s">
        <v>0</v>
      </c>
      <c r="B1" s="10" t="s">
        <v>1</v>
      </c>
      <c r="C1" s="10" t="s">
        <v>2</v>
      </c>
      <c r="D1" s="10" t="s">
        <v>3</v>
      </c>
      <c r="E1" s="10" t="s">
        <v>9</v>
      </c>
      <c r="F1" s="10" t="s">
        <v>10</v>
      </c>
      <c r="G1" s="10" t="s">
        <v>156</v>
      </c>
      <c r="H1" s="10" t="s">
        <v>157</v>
      </c>
      <c r="I1" s="25" t="s">
        <v>15</v>
      </c>
      <c r="J1" s="10" t="s">
        <v>158</v>
      </c>
    </row>
    <row r="2" spans="1:10" x14ac:dyDescent="0.25">
      <c r="A2" s="10" t="s">
        <v>1001</v>
      </c>
      <c r="B2" s="3" t="s">
        <v>1002</v>
      </c>
      <c r="C2" s="2" t="s">
        <v>1003</v>
      </c>
      <c r="D2" s="2" t="s">
        <v>1004</v>
      </c>
      <c r="E2" s="10" t="s">
        <v>1005</v>
      </c>
      <c r="F2" s="10" t="s">
        <v>1006</v>
      </c>
      <c r="G2" s="10" t="s">
        <v>1007</v>
      </c>
      <c r="H2" s="2" t="s">
        <v>1004</v>
      </c>
      <c r="I2" s="11" t="str">
        <f>"D-"&amp;A2</f>
        <v>D-SS24FL</v>
      </c>
      <c r="J2" s="11" t="str">
        <f>I2</f>
        <v>D-SS24FL</v>
      </c>
    </row>
    <row r="3" spans="1:10" x14ac:dyDescent="0.25">
      <c r="A3" s="2" t="s">
        <v>1008</v>
      </c>
      <c r="B3" s="3" t="s">
        <v>1009</v>
      </c>
      <c r="C3" s="10" t="s">
        <v>1003</v>
      </c>
      <c r="D3" s="2" t="s">
        <v>1010</v>
      </c>
      <c r="E3" s="10" t="s">
        <v>1005</v>
      </c>
      <c r="F3" s="10" t="s">
        <v>1006</v>
      </c>
      <c r="G3" s="10" t="s">
        <v>1007</v>
      </c>
      <c r="H3" s="2" t="s">
        <v>1010</v>
      </c>
      <c r="I3" s="11" t="str">
        <f>"D-"&amp;A3</f>
        <v>D-MBRA160T3G</v>
      </c>
      <c r="J3" s="11" t="str">
        <f>I3</f>
        <v>D-MBRA160T3G</v>
      </c>
    </row>
    <row r="4" spans="1:10" x14ac:dyDescent="0.25">
      <c r="A4" s="10" t="s">
        <v>1011</v>
      </c>
      <c r="B4" s="3" t="s">
        <v>1012</v>
      </c>
      <c r="E4" s="10" t="s">
        <v>1013</v>
      </c>
      <c r="F4" s="10" t="s">
        <v>1011</v>
      </c>
      <c r="G4" s="10" t="s">
        <v>1014</v>
      </c>
      <c r="H4" s="10" t="s">
        <v>1011</v>
      </c>
      <c r="I4" t="str">
        <f>"D-"&amp;A4</f>
        <v>D-REPER</v>
      </c>
      <c r="J4" t="str">
        <f>I4</f>
        <v>D-REPER</v>
      </c>
    </row>
    <row r="5" spans="1:10" x14ac:dyDescent="0.25">
      <c r="A5" s="10" t="s">
        <v>1015</v>
      </c>
      <c r="B5" s="10" t="s">
        <v>1016</v>
      </c>
      <c r="E5" s="10" t="s">
        <v>1013</v>
      </c>
      <c r="F5" s="10" t="s">
        <v>1011</v>
      </c>
      <c r="G5" s="10" t="s">
        <v>1014</v>
      </c>
      <c r="H5" s="10" t="s">
        <v>1015</v>
      </c>
      <c r="I5" t="str">
        <f>"D-"&amp;A5</f>
        <v>D-CP</v>
      </c>
      <c r="J5" t="str">
        <f>I5</f>
        <v>D-CP</v>
      </c>
    </row>
    <row r="6" spans="1:10" x14ac:dyDescent="0.25">
      <c r="A6" s="10" t="s">
        <v>1017</v>
      </c>
      <c r="B6" s="2" t="s">
        <v>1018</v>
      </c>
      <c r="C6" s="10" t="s">
        <v>1019</v>
      </c>
      <c r="D6" s="10" t="s">
        <v>994</v>
      </c>
      <c r="E6" s="10" t="s">
        <v>1005</v>
      </c>
      <c r="F6" s="10" t="s">
        <v>1020</v>
      </c>
      <c r="G6" s="10" t="s">
        <v>1007</v>
      </c>
      <c r="H6" s="10" t="s">
        <v>994</v>
      </c>
      <c r="I6" s="11" t="str">
        <f t="shared" ref="I6:I17" si="0">"D-"&amp;A6</f>
        <v>D-BZX84C13</v>
      </c>
      <c r="J6" s="11" t="str">
        <f t="shared" ref="J6:J17" si="1">I6</f>
        <v>D-BZX84C13</v>
      </c>
    </row>
    <row r="7" spans="1:10" x14ac:dyDescent="0.25">
      <c r="A7" s="10" t="s">
        <v>1021</v>
      </c>
      <c r="B7" s="2" t="s">
        <v>1022</v>
      </c>
      <c r="C7" s="10" t="s">
        <v>1023</v>
      </c>
      <c r="D7" s="2">
        <v>7050</v>
      </c>
      <c r="E7" s="10" t="s">
        <v>1013</v>
      </c>
      <c r="F7" s="10" t="s">
        <v>1024</v>
      </c>
      <c r="G7" s="10" t="s">
        <v>1014</v>
      </c>
      <c r="H7" s="10" t="s">
        <v>666</v>
      </c>
      <c r="I7" s="11" t="str">
        <f t="shared" si="0"/>
        <v>D-ECS-LVDS33-1000-BN</v>
      </c>
      <c r="J7" s="11" t="str">
        <f t="shared" si="1"/>
        <v>D-ECS-LVDS33-1000-BN</v>
      </c>
    </row>
    <row r="8" spans="1:10" x14ac:dyDescent="0.25">
      <c r="A8" s="10" t="s">
        <v>1025</v>
      </c>
      <c r="B8" s="2" t="s">
        <v>1026</v>
      </c>
      <c r="C8" s="10" t="s">
        <v>1027</v>
      </c>
      <c r="D8" s="2" t="s">
        <v>1028</v>
      </c>
      <c r="E8" s="10" t="s">
        <v>1013</v>
      </c>
      <c r="F8" s="10" t="s">
        <v>1025</v>
      </c>
      <c r="G8" s="10" t="s">
        <v>166</v>
      </c>
      <c r="H8" s="2" t="s">
        <v>1029</v>
      </c>
      <c r="I8" s="11" t="str">
        <f t="shared" si="0"/>
        <v>D-LSM6DS3TR-C</v>
      </c>
      <c r="J8" s="11" t="str">
        <f t="shared" si="1"/>
        <v>D-LSM6DS3TR-C</v>
      </c>
    </row>
    <row r="9" spans="1:10" x14ac:dyDescent="0.25">
      <c r="A9" s="10" t="s">
        <v>1030</v>
      </c>
      <c r="B9" s="2" t="s">
        <v>1031</v>
      </c>
      <c r="C9" s="10" t="s">
        <v>198</v>
      </c>
      <c r="D9" s="10" t="s">
        <v>1032</v>
      </c>
      <c r="E9" s="10" t="s">
        <v>1013</v>
      </c>
      <c r="F9" s="10" t="s">
        <v>1030</v>
      </c>
      <c r="G9" s="10" t="s">
        <v>166</v>
      </c>
      <c r="H9" s="10" t="s">
        <v>1032</v>
      </c>
      <c r="I9" s="11" t="str">
        <f t="shared" si="0"/>
        <v>D-SN74LVC1G08DCKRE4</v>
      </c>
      <c r="J9" s="11" t="str">
        <f t="shared" si="1"/>
        <v>D-SN74LVC1G08DCKRE4</v>
      </c>
    </row>
    <row r="10" spans="1:10" s="14" customFormat="1" x14ac:dyDescent="0.25">
      <c r="A10" s="14" t="s">
        <v>1033</v>
      </c>
      <c r="B10" s="2" t="s">
        <v>1034</v>
      </c>
      <c r="C10" s="14" t="s">
        <v>700</v>
      </c>
      <c r="D10" s="2" t="s">
        <v>1035</v>
      </c>
      <c r="E10" s="10" t="s">
        <v>1036</v>
      </c>
      <c r="F10" s="10" t="s">
        <v>1033</v>
      </c>
      <c r="H10" s="10"/>
      <c r="I10" s="14" t="str">
        <f t="shared" si="0"/>
        <v>D-TCM1-63AX+</v>
      </c>
      <c r="J10" s="14" t="str">
        <f t="shared" si="1"/>
        <v>D-TCM1-63AX+</v>
      </c>
    </row>
    <row r="11" spans="1:10" s="14" customFormat="1" x14ac:dyDescent="0.25">
      <c r="A11" s="14" t="s">
        <v>1037</v>
      </c>
      <c r="B11" s="14" t="s">
        <v>1038</v>
      </c>
      <c r="C11" s="14" t="s">
        <v>1039</v>
      </c>
      <c r="E11" s="10" t="s">
        <v>1013</v>
      </c>
      <c r="F11" s="10" t="s">
        <v>1037</v>
      </c>
      <c r="H11" s="10"/>
      <c r="I11" s="14" t="str">
        <f t="shared" si="0"/>
        <v>D-CX3225SB12000H0FLJCC</v>
      </c>
      <c r="J11" s="14" t="str">
        <f t="shared" si="1"/>
        <v>D-CX3225SB12000H0FLJCC</v>
      </c>
    </row>
    <row r="12" spans="1:10" x14ac:dyDescent="0.25">
      <c r="A12" s="10" t="s">
        <v>1040</v>
      </c>
      <c r="B12" s="10" t="s">
        <v>1041</v>
      </c>
      <c r="C12" s="10" t="s">
        <v>1042</v>
      </c>
      <c r="E12" s="10" t="s">
        <v>1013</v>
      </c>
      <c r="F12" s="10" t="s">
        <v>1043</v>
      </c>
      <c r="I12" s="14" t="str">
        <f t="shared" si="0"/>
        <v>D-1825140-2</v>
      </c>
      <c r="J12" s="14" t="str">
        <f t="shared" si="1"/>
        <v>D-1825140-2</v>
      </c>
    </row>
    <row r="13" spans="1:10" x14ac:dyDescent="0.25">
      <c r="A13" s="10" t="s">
        <v>1044</v>
      </c>
      <c r="B13" s="10" t="s">
        <v>1045</v>
      </c>
      <c r="C13" s="10" t="s">
        <v>1046</v>
      </c>
      <c r="D13" s="10" t="s">
        <v>90</v>
      </c>
      <c r="E13" s="10" t="s">
        <v>1047</v>
      </c>
      <c r="F13" s="10" t="s">
        <v>1048</v>
      </c>
      <c r="G13" s="10" t="s">
        <v>299</v>
      </c>
      <c r="H13" s="10" t="s">
        <v>1049</v>
      </c>
      <c r="I13" s="14" t="str">
        <f t="shared" si="0"/>
        <v>D-LTST-C191KGKT</v>
      </c>
      <c r="J13" s="14" t="str">
        <f t="shared" si="1"/>
        <v>D-LTST-C191KGKT</v>
      </c>
    </row>
    <row r="14" spans="1:10" s="14" customFormat="1" x14ac:dyDescent="0.25">
      <c r="A14" s="14" t="s">
        <v>1050</v>
      </c>
      <c r="B14" s="14" t="s">
        <v>1051</v>
      </c>
      <c r="C14" s="14" t="s">
        <v>1052</v>
      </c>
      <c r="E14" s="10" t="s">
        <v>1013</v>
      </c>
      <c r="F14" s="14" t="s">
        <v>1053</v>
      </c>
      <c r="I14" s="14" t="str">
        <f t="shared" si="0"/>
        <v>D-B3U-1100P-B</v>
      </c>
      <c r="J14" s="14" t="str">
        <f t="shared" si="1"/>
        <v>D-B3U-1100P-B</v>
      </c>
    </row>
    <row r="15" spans="1:10" x14ac:dyDescent="0.25">
      <c r="A15" s="10" t="s">
        <v>1054</v>
      </c>
      <c r="B15" s="10" t="s">
        <v>1055</v>
      </c>
      <c r="C15" s="10" t="s">
        <v>1056</v>
      </c>
      <c r="E15" s="10" t="s">
        <v>1013</v>
      </c>
      <c r="F15" s="10" t="s">
        <v>1043</v>
      </c>
      <c r="I15" s="14" t="str">
        <f t="shared" si="0"/>
        <v>D-CT2064-ND</v>
      </c>
      <c r="J15" s="14" t="str">
        <f t="shared" si="1"/>
        <v>D-CT2064-ND</v>
      </c>
    </row>
    <row r="16" spans="1:10" x14ac:dyDescent="0.25">
      <c r="A16" s="10" t="s">
        <v>1057</v>
      </c>
      <c r="B16" s="10" t="s">
        <v>1251</v>
      </c>
      <c r="C16" s="10" t="s">
        <v>1058</v>
      </c>
      <c r="E16" s="10" t="s">
        <v>1013</v>
      </c>
      <c r="F16" s="10" t="s">
        <v>1059</v>
      </c>
      <c r="I16" s="14" t="str">
        <f t="shared" si="0"/>
        <v>D-SM712-02HTG</v>
      </c>
      <c r="J16" s="14" t="str">
        <f t="shared" si="1"/>
        <v>D-SM712-02HTG</v>
      </c>
    </row>
    <row r="17" spans="1:10" x14ac:dyDescent="0.25">
      <c r="A17" s="2" t="s">
        <v>1060</v>
      </c>
      <c r="B17" s="2" t="s">
        <v>1061</v>
      </c>
      <c r="C17" s="10" t="s">
        <v>1003</v>
      </c>
      <c r="D17" s="2" t="s">
        <v>1062</v>
      </c>
      <c r="E17" s="10" t="s">
        <v>1013</v>
      </c>
      <c r="F17" s="10" t="s">
        <v>1060</v>
      </c>
      <c r="I17" s="14" t="str">
        <f t="shared" si="0"/>
        <v>D-PESD3V3L1BA</v>
      </c>
      <c r="J17" s="14" t="str">
        <f t="shared" si="1"/>
        <v>D-PESD3V3L1BA</v>
      </c>
    </row>
    <row r="18" spans="1:10" x14ac:dyDescent="0.25">
      <c r="A18" s="10" t="s">
        <v>1063</v>
      </c>
      <c r="B18" s="10" t="s">
        <v>1016</v>
      </c>
      <c r="E18" s="10" t="s">
        <v>1013</v>
      </c>
      <c r="F18" s="10" t="s">
        <v>1011</v>
      </c>
      <c r="G18" s="10" t="s">
        <v>1014</v>
      </c>
      <c r="H18" s="10" t="s">
        <v>1063</v>
      </c>
      <c r="I18" s="14" t="str">
        <f>"D-"&amp;A18</f>
        <v>D-CP_0402</v>
      </c>
      <c r="J18" s="14" t="str">
        <f>I18</f>
        <v>D-CP_0402</v>
      </c>
    </row>
    <row r="19" spans="1:10" x14ac:dyDescent="0.25">
      <c r="A19" s="10" t="s">
        <v>1064</v>
      </c>
      <c r="B19" s="10" t="s">
        <v>1065</v>
      </c>
      <c r="E19" s="10" t="s">
        <v>1013</v>
      </c>
      <c r="F19" s="10" t="s">
        <v>1066</v>
      </c>
      <c r="I19" s="14" t="str">
        <f>"D-"&amp;A19</f>
        <v>D-Antenna</v>
      </c>
      <c r="J19" s="14" t="str">
        <f>I19</f>
        <v>D-Antenna</v>
      </c>
    </row>
    <row r="20" spans="1:10" x14ac:dyDescent="0.25">
      <c r="A20" s="10" t="s">
        <v>1067</v>
      </c>
      <c r="B20" s="10" t="s">
        <v>1068</v>
      </c>
      <c r="E20" s="10" t="s">
        <v>1013</v>
      </c>
      <c r="F20" s="10" t="s">
        <v>1067</v>
      </c>
      <c r="G20" s="10" t="s">
        <v>1014</v>
      </c>
      <c r="H20" s="10" t="s">
        <v>1067</v>
      </c>
      <c r="I20" t="str">
        <f>"D-"&amp;A20</f>
        <v>D-S_Band_Radiator_Niz</v>
      </c>
      <c r="J20" t="str">
        <f>I20</f>
        <v>D-S_Band_Radiator_Niz</v>
      </c>
    </row>
    <row r="21" spans="1:10" x14ac:dyDescent="0.25">
      <c r="A21" s="10" t="s">
        <v>1069</v>
      </c>
      <c r="B21" s="10" t="s">
        <v>1069</v>
      </c>
      <c r="E21" s="10" t="s">
        <v>1013</v>
      </c>
      <c r="F21" s="10" t="s">
        <v>1069</v>
      </c>
      <c r="G21" s="10" t="s">
        <v>1014</v>
      </c>
      <c r="H21" s="10" t="s">
        <v>1069</v>
      </c>
      <c r="I21" t="str">
        <f>"D-"&amp;A21</f>
        <v>D-Net_Tie</v>
      </c>
      <c r="J21" t="str">
        <f>I21</f>
        <v>D-Net_Tie</v>
      </c>
    </row>
    <row r="22" spans="1:10" x14ac:dyDescent="0.25">
      <c r="A22" s="10" t="s">
        <v>1309</v>
      </c>
      <c r="B22" s="10" t="s">
        <v>1311</v>
      </c>
      <c r="E22" s="10" t="s">
        <v>1013</v>
      </c>
      <c r="F22" s="10" t="s">
        <v>1310</v>
      </c>
      <c r="G22" s="10" t="s">
        <v>1014</v>
      </c>
      <c r="H22" s="10" t="s">
        <v>1310</v>
      </c>
      <c r="I22"/>
      <c r="J22"/>
    </row>
    <row r="23" spans="1:10" x14ac:dyDescent="0.25">
      <c r="A23"/>
      <c r="B23"/>
      <c r="C23"/>
      <c r="D23"/>
      <c r="E23"/>
      <c r="F23"/>
      <c r="G23"/>
      <c r="H23"/>
      <c r="I23" t="str">
        <f t="shared" ref="I23" si="2">""</f>
        <v/>
      </c>
      <c r="J23" t="str">
        <f t="shared" ref="J23" si="3">I23</f>
        <v/>
      </c>
    </row>
    <row r="24" spans="1:10" x14ac:dyDescent="0.25">
      <c r="A24"/>
      <c r="B24"/>
      <c r="C24"/>
      <c r="D24"/>
      <c r="E24"/>
      <c r="F24"/>
      <c r="G24"/>
      <c r="H24"/>
      <c r="I24"/>
      <c r="J24"/>
    </row>
    <row r="25" spans="1:10" x14ac:dyDescent="0.25">
      <c r="A25"/>
      <c r="B25"/>
      <c r="C25"/>
      <c r="D25"/>
      <c r="E25"/>
      <c r="F25"/>
      <c r="G25"/>
      <c r="H25"/>
      <c r="I25"/>
      <c r="J25"/>
    </row>
    <row r="26" spans="1:10" x14ac:dyDescent="0.25">
      <c r="A26"/>
      <c r="B26"/>
      <c r="C26"/>
      <c r="D26"/>
      <c r="E26"/>
      <c r="F26"/>
      <c r="G26"/>
      <c r="H26"/>
      <c r="I26"/>
      <c r="J26"/>
    </row>
    <row r="27" spans="1:10" x14ac:dyDescent="0.25">
      <c r="A27"/>
      <c r="B27"/>
      <c r="C27"/>
      <c r="D27"/>
      <c r="E27"/>
      <c r="F27"/>
      <c r="G27"/>
      <c r="H27"/>
      <c r="I27"/>
      <c r="J27"/>
    </row>
    <row r="28" spans="1:10" x14ac:dyDescent="0.25">
      <c r="A28"/>
      <c r="B28"/>
      <c r="C28"/>
      <c r="D28"/>
      <c r="E28"/>
      <c r="F28"/>
      <c r="G28"/>
      <c r="H28"/>
      <c r="I28"/>
      <c r="J28"/>
    </row>
  </sheetData>
  <conditionalFormatting sqref="H2:H21 H23">
    <cfRule type="containsBlanks" priority="1"/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3"/>
  <sheetViews>
    <sheetView showGridLines="0" workbookViewId="0">
      <selection activeCell="F38" sqref="F38"/>
    </sheetView>
  </sheetViews>
  <sheetFormatPr defaultRowHeight="15.75" x14ac:dyDescent="0.25"/>
  <cols>
    <col min="1" max="1" width="20.25" customWidth="1"/>
    <col min="2" max="2" width="25.25" customWidth="1"/>
    <col min="3" max="4" width="25.625" customWidth="1"/>
    <col min="5" max="5" width="31.75" customWidth="1"/>
    <col min="6" max="6" width="27.25" customWidth="1"/>
    <col min="7" max="7" width="23" customWidth="1"/>
    <col min="8" max="8" width="20.375" customWidth="1"/>
    <col min="9" max="9" width="16.375" customWidth="1"/>
    <col min="10" max="10" width="12.625" customWidth="1"/>
  </cols>
  <sheetData>
    <row r="1" spans="1:10" s="2" customFormat="1" x14ac:dyDescent="0.25">
      <c r="A1" s="10" t="s">
        <v>0</v>
      </c>
      <c r="B1" s="10" t="s">
        <v>1</v>
      </c>
      <c r="C1" s="10" t="s">
        <v>2</v>
      </c>
      <c r="D1" s="10" t="s">
        <v>3</v>
      </c>
      <c r="E1" s="10" t="s">
        <v>9</v>
      </c>
      <c r="F1" s="10" t="s">
        <v>10</v>
      </c>
      <c r="G1" s="10" t="s">
        <v>156</v>
      </c>
      <c r="H1" s="10" t="s">
        <v>157</v>
      </c>
      <c r="I1" s="19" t="s">
        <v>15</v>
      </c>
      <c r="J1" s="23" t="s">
        <v>158</v>
      </c>
    </row>
    <row r="2" spans="1:10" x14ac:dyDescent="0.25">
      <c r="A2" s="2" t="s">
        <v>1205</v>
      </c>
      <c r="B2" t="s">
        <v>1206</v>
      </c>
      <c r="C2" s="2" t="s">
        <v>1207</v>
      </c>
      <c r="D2" s="2" t="s">
        <v>1208</v>
      </c>
      <c r="E2" t="s">
        <v>1209</v>
      </c>
      <c r="F2" t="s">
        <v>1205</v>
      </c>
      <c r="G2" s="2" t="s">
        <v>166</v>
      </c>
      <c r="I2" t="str">
        <f>A2</f>
        <v>XC7S50-1FTGB196C</v>
      </c>
      <c r="J2" t="str">
        <f>I2</f>
        <v>XC7S50-1FTGB196C</v>
      </c>
    </row>
    <row r="3" spans="1:10" x14ac:dyDescent="0.25">
      <c r="B3" s="2"/>
    </row>
  </sheetData>
  <conditionalFormatting sqref="H2">
    <cfRule type="containsBlanks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Capacitors_General</vt:lpstr>
      <vt:lpstr>Capacitors_RF</vt:lpstr>
      <vt:lpstr>Resistors</vt:lpstr>
      <vt:lpstr>Inductors_RF</vt:lpstr>
      <vt:lpstr>Inductors_Power</vt:lpstr>
      <vt:lpstr>Filters</vt:lpstr>
      <vt:lpstr>IC_Power</vt:lpstr>
      <vt:lpstr>IC_Analog</vt:lpstr>
      <vt:lpstr>IC_DIGITAL</vt:lpstr>
      <vt:lpstr>IC_RF</vt:lpstr>
      <vt:lpstr>Connectors</vt:lpstr>
      <vt:lpstr>Transistors</vt:lpstr>
      <vt:lpstr>Diodes</vt:lpstr>
      <vt:lpstr>Misc</vt:lpstr>
      <vt:lpstr>FPGA_MCU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Андрей</dc:creator>
  <cp:lastModifiedBy>Andrey Bugaev</cp:lastModifiedBy>
  <dcterms:created xsi:type="dcterms:W3CDTF">2026-08-28T11:14:47Z</dcterms:created>
  <dcterms:modified xsi:type="dcterms:W3CDTF">2026-10-14T14:35:01Z</dcterms:modified>
</cp:coreProperties>
</file>