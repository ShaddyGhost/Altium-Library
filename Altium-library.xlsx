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ltium-Library\"/>
    </mc:Choice>
  </mc:AlternateContent>
  <xr:revisionPtr revIDLastSave="0" documentId="13_ncr:1_{BB1F7E14-AA87-4214-B925-ACC9CA81B3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pacitors_General" sheetId="1" r:id="rId1"/>
    <sheet name="Capacitors_RF" sheetId="17" r:id="rId2"/>
    <sheet name="Resistors" sheetId="2" r:id="rId3"/>
    <sheet name="Inductors_RF" sheetId="3" r:id="rId4"/>
    <sheet name="Inductors_Power" sheetId="15" r:id="rId5"/>
    <sheet name="Filters" sheetId="16" r:id="rId6"/>
    <sheet name="IC_Power" sheetId="8" r:id="rId7"/>
    <sheet name="IC_Analog" sheetId="12" r:id="rId8"/>
    <sheet name="IC_DIGITAL" sheetId="13" r:id="rId9"/>
    <sheet name="IC_RF" sheetId="4" r:id="rId10"/>
    <sheet name="Connectors" sheetId="5" r:id="rId11"/>
    <sheet name="Transistors" sheetId="11" r:id="rId12"/>
    <sheet name="Diodes" sheetId="19" r:id="rId13"/>
    <sheet name="Misc" sheetId="6" r:id="rId14"/>
    <sheet name="FPGA_MCU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7" i="17" l="1"/>
  <c r="S17" i="17"/>
  <c r="O17" i="17"/>
  <c r="K37" i="13"/>
  <c r="J37" i="13"/>
  <c r="J2" i="13"/>
  <c r="K2" i="13" s="1"/>
  <c r="J3" i="13"/>
  <c r="K3" i="13" s="1"/>
  <c r="J4" i="13"/>
  <c r="K4" i="13"/>
  <c r="J5" i="13"/>
  <c r="K5" i="13"/>
  <c r="J6" i="13"/>
  <c r="K6" i="13"/>
  <c r="J7" i="13"/>
  <c r="K7" i="13" s="1"/>
  <c r="J8" i="13"/>
  <c r="K8" i="13" s="1"/>
  <c r="J9" i="13"/>
  <c r="K9" i="13" s="1"/>
  <c r="J10" i="13"/>
  <c r="K10" i="13" s="1"/>
  <c r="J11" i="13"/>
  <c r="K11" i="13" s="1"/>
  <c r="J12" i="13"/>
  <c r="K12" i="13" s="1"/>
  <c r="J13" i="13"/>
  <c r="K13" i="13" s="1"/>
  <c r="J14" i="13"/>
  <c r="K14" i="13" s="1"/>
  <c r="J15" i="13"/>
  <c r="K15" i="13" s="1"/>
  <c r="J16" i="13"/>
  <c r="K16" i="13"/>
  <c r="J17" i="13"/>
  <c r="K17" i="13"/>
  <c r="J18" i="13"/>
  <c r="K18" i="13"/>
  <c r="J19" i="13"/>
  <c r="K19" i="13" s="1"/>
  <c r="J20" i="13"/>
  <c r="K20" i="13" s="1"/>
  <c r="J21" i="13"/>
  <c r="K21" i="13" s="1"/>
  <c r="J22" i="13"/>
  <c r="K22" i="13"/>
  <c r="J23" i="13"/>
  <c r="K23" i="13"/>
  <c r="J24" i="13"/>
  <c r="K24" i="13"/>
  <c r="J25" i="13"/>
  <c r="K25" i="13" s="1"/>
  <c r="J26" i="13"/>
  <c r="K26" i="13" s="1"/>
  <c r="J27" i="13"/>
  <c r="K27" i="13" s="1"/>
  <c r="J28" i="13"/>
  <c r="K28" i="13"/>
  <c r="J29" i="13"/>
  <c r="K29" i="13"/>
  <c r="J30" i="13"/>
  <c r="K30" i="13"/>
  <c r="J31" i="13"/>
  <c r="K31" i="13" s="1"/>
  <c r="J32" i="13"/>
  <c r="K32" i="13" s="1"/>
  <c r="J33" i="13"/>
  <c r="K33" i="13" s="1"/>
  <c r="J34" i="13"/>
  <c r="K34" i="13" s="1"/>
  <c r="J35" i="13"/>
  <c r="K35" i="13" s="1"/>
  <c r="J36" i="13"/>
  <c r="K36" i="13" s="1"/>
  <c r="M35" i="8"/>
  <c r="L35" i="8"/>
  <c r="L2" i="8"/>
  <c r="M2" i="8" s="1"/>
  <c r="L3" i="8"/>
  <c r="M3" i="8" s="1"/>
  <c r="L4" i="8"/>
  <c r="M4" i="8"/>
  <c r="L5" i="8"/>
  <c r="M5" i="8"/>
  <c r="L6" i="8"/>
  <c r="M6" i="8" s="1"/>
  <c r="L7" i="8"/>
  <c r="M7" i="8" s="1"/>
  <c r="L8" i="8"/>
  <c r="M8" i="8"/>
  <c r="L9" i="8"/>
  <c r="M9" i="8"/>
  <c r="L10" i="8"/>
  <c r="M10" i="8"/>
  <c r="L11" i="8"/>
  <c r="M11" i="8"/>
  <c r="L12" i="8"/>
  <c r="M12" i="8"/>
  <c r="L13" i="8"/>
  <c r="M13" i="8" s="1"/>
  <c r="L14" i="8"/>
  <c r="M14" i="8"/>
  <c r="L15" i="8"/>
  <c r="M15" i="8"/>
  <c r="L16" i="8"/>
  <c r="M16" i="8"/>
  <c r="L17" i="8"/>
  <c r="M17" i="8"/>
  <c r="L18" i="8"/>
  <c r="M18" i="8" s="1"/>
  <c r="L19" i="8"/>
  <c r="M19" i="8" s="1"/>
  <c r="L20" i="8"/>
  <c r="L21" i="8"/>
  <c r="M21" i="8" s="1"/>
  <c r="L22" i="8"/>
  <c r="M22" i="8" s="1"/>
  <c r="L23" i="8"/>
  <c r="M23" i="8"/>
  <c r="L24" i="8"/>
  <c r="M24" i="8"/>
  <c r="L25" i="8"/>
  <c r="M25" i="8" s="1"/>
  <c r="L26" i="8"/>
  <c r="M26" i="8" s="1"/>
  <c r="L27" i="8"/>
  <c r="M27" i="8" s="1"/>
  <c r="L28" i="8"/>
  <c r="M28" i="8" s="1"/>
  <c r="L29" i="8"/>
  <c r="M29" i="8"/>
  <c r="L30" i="8"/>
  <c r="M30" i="8"/>
  <c r="M31" i="8"/>
  <c r="L32" i="8"/>
  <c r="M32" i="8" s="1"/>
  <c r="L33" i="8"/>
  <c r="M33" i="8" s="1"/>
  <c r="L34" i="8"/>
  <c r="M34" i="8"/>
  <c r="L108" i="2"/>
  <c r="K108" i="2"/>
  <c r="J2" i="2"/>
  <c r="K2" i="2"/>
  <c r="L2" i="2" s="1"/>
  <c r="J3" i="2"/>
  <c r="K3" i="2"/>
  <c r="L3" i="2"/>
  <c r="J4" i="2"/>
  <c r="K4" i="2"/>
  <c r="L4" i="2" s="1"/>
  <c r="J5" i="2"/>
  <c r="K5" i="2"/>
  <c r="L5" i="2" s="1"/>
  <c r="J6" i="2"/>
  <c r="K6" i="2"/>
  <c r="L6" i="2" s="1"/>
  <c r="J7" i="2"/>
  <c r="K7" i="2"/>
  <c r="L7" i="2"/>
  <c r="J8" i="2"/>
  <c r="K8" i="2"/>
  <c r="L8" i="2" s="1"/>
  <c r="J9" i="2"/>
  <c r="K9" i="2"/>
  <c r="L9" i="2" s="1"/>
  <c r="J10" i="2"/>
  <c r="K10" i="2"/>
  <c r="L10" i="2" s="1"/>
  <c r="J11" i="2"/>
  <c r="K11" i="2"/>
  <c r="L11" i="2"/>
  <c r="J12" i="2"/>
  <c r="K12" i="2"/>
  <c r="L12" i="2" s="1"/>
  <c r="J13" i="2"/>
  <c r="K13" i="2"/>
  <c r="L13" i="2" s="1"/>
  <c r="J14" i="2"/>
  <c r="K14" i="2"/>
  <c r="L14" i="2" s="1"/>
  <c r="J15" i="2"/>
  <c r="K15" i="2"/>
  <c r="L15" i="2"/>
  <c r="J16" i="2"/>
  <c r="K16" i="2"/>
  <c r="L16" i="2" s="1"/>
  <c r="J17" i="2"/>
  <c r="K17" i="2"/>
  <c r="L17" i="2" s="1"/>
  <c r="J18" i="2"/>
  <c r="K18" i="2"/>
  <c r="L18" i="2" s="1"/>
  <c r="J19" i="2"/>
  <c r="K19" i="2"/>
  <c r="L19" i="2"/>
  <c r="J20" i="2"/>
  <c r="K20" i="2"/>
  <c r="L20" i="2" s="1"/>
  <c r="J21" i="2"/>
  <c r="K21" i="2"/>
  <c r="L21" i="2" s="1"/>
  <c r="J22" i="2"/>
  <c r="K22" i="2"/>
  <c r="L22" i="2" s="1"/>
  <c r="J23" i="2"/>
  <c r="K23" i="2"/>
  <c r="L23" i="2"/>
  <c r="J24" i="2"/>
  <c r="K24" i="2"/>
  <c r="L24" i="2" s="1"/>
  <c r="J25" i="2"/>
  <c r="K25" i="2"/>
  <c r="L25" i="2" s="1"/>
  <c r="J26" i="2"/>
  <c r="K26" i="2"/>
  <c r="L26" i="2" s="1"/>
  <c r="J27" i="2"/>
  <c r="K27" i="2"/>
  <c r="L27" i="2"/>
  <c r="J28" i="2"/>
  <c r="K28" i="2"/>
  <c r="L28" i="2" s="1"/>
  <c r="J29" i="2"/>
  <c r="K29" i="2"/>
  <c r="L29" i="2" s="1"/>
  <c r="J30" i="2"/>
  <c r="K30" i="2"/>
  <c r="L30" i="2" s="1"/>
  <c r="J31" i="2"/>
  <c r="K31" i="2"/>
  <c r="L31" i="2"/>
  <c r="J32" i="2"/>
  <c r="K32" i="2"/>
  <c r="L32" i="2" s="1"/>
  <c r="J33" i="2"/>
  <c r="K33" i="2"/>
  <c r="L33" i="2" s="1"/>
  <c r="J34" i="2"/>
  <c r="K34" i="2"/>
  <c r="L34" i="2" s="1"/>
  <c r="J35" i="2"/>
  <c r="K35" i="2"/>
  <c r="L35" i="2"/>
  <c r="J36" i="2"/>
  <c r="K36" i="2"/>
  <c r="L36" i="2" s="1"/>
  <c r="J37" i="2"/>
  <c r="K37" i="2"/>
  <c r="L37" i="2" s="1"/>
  <c r="J38" i="2"/>
  <c r="K38" i="2"/>
  <c r="L38" i="2" s="1"/>
  <c r="J39" i="2"/>
  <c r="K39" i="2"/>
  <c r="L39" i="2"/>
  <c r="J40" i="2"/>
  <c r="K40" i="2"/>
  <c r="L40" i="2" s="1"/>
  <c r="J41" i="2"/>
  <c r="K41" i="2"/>
  <c r="L41" i="2" s="1"/>
  <c r="J42" i="2"/>
  <c r="K42" i="2"/>
  <c r="L42" i="2" s="1"/>
  <c r="J43" i="2"/>
  <c r="K43" i="2"/>
  <c r="L43" i="2"/>
  <c r="J44" i="2"/>
  <c r="K44" i="2"/>
  <c r="L44" i="2" s="1"/>
  <c r="J45" i="2"/>
  <c r="K45" i="2"/>
  <c r="L45" i="2" s="1"/>
  <c r="J46" i="2"/>
  <c r="K46" i="2"/>
  <c r="L46" i="2" s="1"/>
  <c r="J47" i="2"/>
  <c r="K47" i="2"/>
  <c r="L47" i="2"/>
  <c r="J48" i="2"/>
  <c r="K48" i="2"/>
  <c r="L48" i="2" s="1"/>
  <c r="J49" i="2"/>
  <c r="K49" i="2"/>
  <c r="L49" i="2" s="1"/>
  <c r="J50" i="2"/>
  <c r="K50" i="2"/>
  <c r="L50" i="2" s="1"/>
  <c r="J51" i="2"/>
  <c r="K51" i="2"/>
  <c r="L51" i="2"/>
  <c r="J52" i="2"/>
  <c r="K52" i="2"/>
  <c r="L52" i="2" s="1"/>
  <c r="J53" i="2"/>
  <c r="K53" i="2"/>
  <c r="L53" i="2" s="1"/>
  <c r="J54" i="2"/>
  <c r="K54" i="2"/>
  <c r="L54" i="2" s="1"/>
  <c r="J55" i="2"/>
  <c r="K55" i="2"/>
  <c r="L55" i="2"/>
  <c r="J56" i="2"/>
  <c r="K56" i="2"/>
  <c r="L56" i="2" s="1"/>
  <c r="J57" i="2"/>
  <c r="K57" i="2"/>
  <c r="L57" i="2" s="1"/>
  <c r="J58" i="2"/>
  <c r="K58" i="2"/>
  <c r="L58" i="2" s="1"/>
  <c r="J59" i="2"/>
  <c r="K59" i="2"/>
  <c r="L59" i="2"/>
  <c r="J60" i="2"/>
  <c r="K60" i="2"/>
  <c r="L60" i="2" s="1"/>
  <c r="J61" i="2"/>
  <c r="K61" i="2"/>
  <c r="L61" i="2" s="1"/>
  <c r="J62" i="2"/>
  <c r="K62" i="2"/>
  <c r="L62" i="2" s="1"/>
  <c r="J63" i="2"/>
  <c r="K63" i="2"/>
  <c r="L63" i="2"/>
  <c r="J64" i="2"/>
  <c r="K64" i="2"/>
  <c r="L64" i="2" s="1"/>
  <c r="J65" i="2"/>
  <c r="K65" i="2"/>
  <c r="L65" i="2" s="1"/>
  <c r="J66" i="2"/>
  <c r="K66" i="2"/>
  <c r="L66" i="2" s="1"/>
  <c r="J67" i="2"/>
  <c r="K67" i="2"/>
  <c r="L67" i="2"/>
  <c r="J68" i="2"/>
  <c r="K68" i="2"/>
  <c r="L68" i="2" s="1"/>
  <c r="J69" i="2"/>
  <c r="K69" i="2"/>
  <c r="L69" i="2" s="1"/>
  <c r="J70" i="2"/>
  <c r="K70" i="2"/>
  <c r="L70" i="2" s="1"/>
  <c r="J71" i="2"/>
  <c r="K71" i="2"/>
  <c r="L71" i="2"/>
  <c r="J72" i="2"/>
  <c r="K72" i="2"/>
  <c r="L72" i="2" s="1"/>
  <c r="J73" i="2"/>
  <c r="K73" i="2"/>
  <c r="L73" i="2" s="1"/>
  <c r="J74" i="2"/>
  <c r="K74" i="2"/>
  <c r="L74" i="2" s="1"/>
  <c r="J75" i="2"/>
  <c r="K75" i="2"/>
  <c r="L75" i="2"/>
  <c r="J76" i="2"/>
  <c r="K76" i="2"/>
  <c r="L76" i="2" s="1"/>
  <c r="J77" i="2"/>
  <c r="K77" i="2"/>
  <c r="L77" i="2" s="1"/>
  <c r="J78" i="2"/>
  <c r="K78" i="2"/>
  <c r="L78" i="2" s="1"/>
  <c r="J79" i="2"/>
  <c r="K79" i="2"/>
  <c r="L79" i="2"/>
  <c r="J80" i="2"/>
  <c r="K80" i="2"/>
  <c r="L80" i="2" s="1"/>
  <c r="J81" i="2"/>
  <c r="K81" i="2"/>
  <c r="L81" i="2" s="1"/>
  <c r="J82" i="2"/>
  <c r="K82" i="2"/>
  <c r="L82" i="2" s="1"/>
  <c r="J83" i="2"/>
  <c r="K83" i="2"/>
  <c r="L83" i="2"/>
  <c r="J84" i="2"/>
  <c r="K84" i="2"/>
  <c r="L84" i="2" s="1"/>
  <c r="J85" i="2"/>
  <c r="K85" i="2"/>
  <c r="L85" i="2" s="1"/>
  <c r="J86" i="2"/>
  <c r="K86" i="2"/>
  <c r="L86" i="2" s="1"/>
  <c r="J87" i="2"/>
  <c r="K87" i="2"/>
  <c r="L87" i="2"/>
  <c r="J88" i="2"/>
  <c r="K88" i="2"/>
  <c r="L88" i="2" s="1"/>
  <c r="J89" i="2"/>
  <c r="K89" i="2"/>
  <c r="L89" i="2" s="1"/>
  <c r="J90" i="2"/>
  <c r="K90" i="2"/>
  <c r="L90" i="2" s="1"/>
  <c r="J91" i="2"/>
  <c r="K91" i="2"/>
  <c r="L91" i="2"/>
  <c r="J92" i="2"/>
  <c r="K92" i="2"/>
  <c r="L92" i="2" s="1"/>
  <c r="J93" i="2"/>
  <c r="K93" i="2"/>
  <c r="L93" i="2" s="1"/>
  <c r="J94" i="2"/>
  <c r="K94" i="2"/>
  <c r="L94" i="2" s="1"/>
  <c r="J95" i="2"/>
  <c r="K95" i="2"/>
  <c r="L95" i="2"/>
  <c r="J96" i="2"/>
  <c r="K96" i="2"/>
  <c r="L96" i="2" s="1"/>
  <c r="J97" i="2"/>
  <c r="K97" i="2"/>
  <c r="L97" i="2" s="1"/>
  <c r="J98" i="2"/>
  <c r="K98" i="2"/>
  <c r="L98" i="2" s="1"/>
  <c r="J99" i="2"/>
  <c r="K99" i="2"/>
  <c r="L99" i="2"/>
  <c r="J100" i="2"/>
  <c r="K100" i="2"/>
  <c r="L100" i="2" s="1"/>
  <c r="J101" i="2"/>
  <c r="K101" i="2"/>
  <c r="L101" i="2" s="1"/>
  <c r="J102" i="2"/>
  <c r="K102" i="2"/>
  <c r="L102" i="2" s="1"/>
  <c r="J103" i="2"/>
  <c r="K103" i="2"/>
  <c r="L103" i="2"/>
  <c r="J104" i="2"/>
  <c r="K104" i="2"/>
  <c r="L104" i="2" s="1"/>
  <c r="J105" i="2"/>
  <c r="K105" i="2"/>
  <c r="L105" i="2" s="1"/>
  <c r="J106" i="2"/>
  <c r="K106" i="2"/>
  <c r="L106" i="2" s="1"/>
  <c r="J107" i="2"/>
  <c r="K107" i="2"/>
  <c r="L107" i="2"/>
  <c r="J13" i="12"/>
  <c r="K13" i="12" s="1"/>
  <c r="K14" i="15"/>
  <c r="J14" i="15"/>
  <c r="K13" i="15"/>
  <c r="J13" i="15"/>
  <c r="I5" i="19"/>
  <c r="J5" i="19" s="1"/>
  <c r="N44" i="1"/>
  <c r="O44" i="1" s="1"/>
  <c r="M44" i="1"/>
  <c r="O43" i="1"/>
  <c r="N43" i="1"/>
  <c r="M43" i="1"/>
  <c r="K12" i="15"/>
  <c r="J12" i="15"/>
  <c r="J2" i="15"/>
  <c r="K2" i="15" s="1"/>
  <c r="J3" i="15"/>
  <c r="K3" i="15" s="1"/>
  <c r="J4" i="15"/>
  <c r="K4" i="15" s="1"/>
  <c r="J5" i="15"/>
  <c r="K5" i="15" s="1"/>
  <c r="J6" i="15"/>
  <c r="K6" i="15" s="1"/>
  <c r="J7" i="15"/>
  <c r="K7" i="15" s="1"/>
  <c r="J8" i="15"/>
  <c r="K8" i="15" s="1"/>
  <c r="J9" i="15"/>
  <c r="K9" i="15" s="1"/>
  <c r="J10" i="15"/>
  <c r="K10" i="15" s="1"/>
  <c r="J11" i="15"/>
  <c r="K11" i="15" s="1"/>
  <c r="I5" i="16"/>
  <c r="I6" i="16"/>
  <c r="H5" i="16"/>
  <c r="H6" i="16"/>
  <c r="H4" i="16"/>
  <c r="I4" i="19" l="1"/>
  <c r="J4" i="19" s="1"/>
  <c r="I2" i="19"/>
  <c r="J2" i="19" s="1"/>
  <c r="I3" i="19"/>
  <c r="J3" i="19" s="1"/>
  <c r="I2" i="6"/>
  <c r="J2" i="6" s="1"/>
  <c r="J82" i="4"/>
  <c r="K82" i="4" s="1"/>
  <c r="J2" i="4"/>
  <c r="K2" i="4" s="1"/>
  <c r="J3" i="4"/>
  <c r="K3" i="4"/>
  <c r="J4" i="4"/>
  <c r="K4" i="4"/>
  <c r="J5" i="4"/>
  <c r="K5" i="4"/>
  <c r="J6" i="4"/>
  <c r="K6" i="4"/>
  <c r="J7" i="4"/>
  <c r="K7" i="4" s="1"/>
  <c r="J8" i="4"/>
  <c r="K8" i="4"/>
  <c r="J9" i="4"/>
  <c r="K9" i="4"/>
  <c r="J10" i="4"/>
  <c r="K10" i="4"/>
  <c r="J11" i="4"/>
  <c r="K11" i="4"/>
  <c r="J12" i="4"/>
  <c r="K12" i="4"/>
  <c r="J13" i="4"/>
  <c r="K13" i="4" s="1"/>
  <c r="J14" i="4"/>
  <c r="K14" i="4"/>
  <c r="J15" i="4"/>
  <c r="K15" i="4"/>
  <c r="J16" i="4"/>
  <c r="K16" i="4"/>
  <c r="J17" i="4"/>
  <c r="K17" i="4"/>
  <c r="J18" i="4"/>
  <c r="K18" i="4"/>
  <c r="J19" i="4"/>
  <c r="K19" i="4" s="1"/>
  <c r="J20" i="4"/>
  <c r="K20" i="4"/>
  <c r="J21" i="4"/>
  <c r="K21" i="4"/>
  <c r="J22" i="4"/>
  <c r="K22" i="4"/>
  <c r="J23" i="4"/>
  <c r="K23" i="4"/>
  <c r="J24" i="4"/>
  <c r="K24" i="4"/>
  <c r="J25" i="4"/>
  <c r="K25" i="4" s="1"/>
  <c r="J26" i="4"/>
  <c r="K26" i="4"/>
  <c r="J27" i="4"/>
  <c r="K27" i="4"/>
  <c r="J28" i="4"/>
  <c r="K28" i="4"/>
  <c r="J29" i="4"/>
  <c r="K29" i="4"/>
  <c r="J30" i="4"/>
  <c r="K30" i="4"/>
  <c r="J31" i="4"/>
  <c r="K31" i="4" s="1"/>
  <c r="J32" i="4"/>
  <c r="K32" i="4"/>
  <c r="J33" i="4"/>
  <c r="K33" i="4"/>
  <c r="J34" i="4"/>
  <c r="K34" i="4"/>
  <c r="J35" i="4"/>
  <c r="K35" i="4"/>
  <c r="J36" i="4"/>
  <c r="K36" i="4"/>
  <c r="J37" i="4"/>
  <c r="K37" i="4" s="1"/>
  <c r="J38" i="4"/>
  <c r="K38" i="4"/>
  <c r="J39" i="4"/>
  <c r="K39" i="4"/>
  <c r="J40" i="4"/>
  <c r="K40" i="4"/>
  <c r="J41" i="4"/>
  <c r="K41" i="4"/>
  <c r="J42" i="4"/>
  <c r="K42" i="4"/>
  <c r="J43" i="4"/>
  <c r="K43" i="4" s="1"/>
  <c r="J44" i="4"/>
  <c r="K44" i="4"/>
  <c r="J45" i="4"/>
  <c r="K45" i="4"/>
  <c r="J46" i="4"/>
  <c r="K46" i="4"/>
  <c r="J47" i="4"/>
  <c r="K47" i="4"/>
  <c r="J48" i="4"/>
  <c r="K48" i="4"/>
  <c r="J49" i="4"/>
  <c r="K49" i="4" s="1"/>
  <c r="J50" i="4"/>
  <c r="K50" i="4"/>
  <c r="J51" i="4"/>
  <c r="K51" i="4"/>
  <c r="J52" i="4"/>
  <c r="K52" i="4"/>
  <c r="J53" i="4"/>
  <c r="K53" i="4"/>
  <c r="J54" i="4"/>
  <c r="K54" i="4"/>
  <c r="J55" i="4"/>
  <c r="K55" i="4" s="1"/>
  <c r="J56" i="4"/>
  <c r="K56" i="4"/>
  <c r="J57" i="4"/>
  <c r="K57" i="4"/>
  <c r="J58" i="4"/>
  <c r="K58" i="4"/>
  <c r="J59" i="4"/>
  <c r="K59" i="4"/>
  <c r="J60" i="4"/>
  <c r="K60" i="4"/>
  <c r="J61" i="4"/>
  <c r="K61" i="4" s="1"/>
  <c r="J62" i="4"/>
  <c r="K62" i="4"/>
  <c r="J63" i="4"/>
  <c r="K63" i="4"/>
  <c r="J64" i="4"/>
  <c r="K64" i="4"/>
  <c r="J65" i="4"/>
  <c r="K65" i="4"/>
  <c r="J66" i="4"/>
  <c r="K66" i="4"/>
  <c r="J67" i="4"/>
  <c r="K67" i="4" s="1"/>
  <c r="J68" i="4"/>
  <c r="K68" i="4"/>
  <c r="J69" i="4"/>
  <c r="K69" i="4"/>
  <c r="J70" i="4"/>
  <c r="K70" i="4"/>
  <c r="J71" i="4"/>
  <c r="K71" i="4"/>
  <c r="J72" i="4"/>
  <c r="K72" i="4"/>
  <c r="J73" i="4"/>
  <c r="K73" i="4" s="1"/>
  <c r="J74" i="4"/>
  <c r="K74" i="4"/>
  <c r="J75" i="4"/>
  <c r="K75" i="4"/>
  <c r="J76" i="4"/>
  <c r="K76" i="4"/>
  <c r="J77" i="4"/>
  <c r="K77" i="4"/>
  <c r="J78" i="4"/>
  <c r="K78" i="4"/>
  <c r="J79" i="4"/>
  <c r="K79" i="4" s="1"/>
  <c r="J80" i="4"/>
  <c r="K80" i="4"/>
  <c r="J81" i="4"/>
  <c r="K81" i="4"/>
  <c r="I2" i="18"/>
  <c r="J2" i="18" s="1"/>
  <c r="J12" i="12"/>
  <c r="K12" i="12" s="1"/>
  <c r="J11" i="12"/>
  <c r="K11" i="12" s="1"/>
  <c r="J10" i="12"/>
  <c r="K10" i="12" s="1"/>
  <c r="J9" i="12"/>
  <c r="K9" i="12" s="1"/>
  <c r="J8" i="12"/>
  <c r="K8" i="12" s="1"/>
  <c r="J7" i="12"/>
  <c r="K7" i="12" s="1"/>
  <c r="J6" i="12"/>
  <c r="K6" i="12" s="1"/>
  <c r="J5" i="12"/>
  <c r="K5" i="12" s="1"/>
  <c r="J4" i="12"/>
  <c r="K4" i="12" s="1"/>
  <c r="J3" i="12"/>
  <c r="K3" i="12" s="1"/>
  <c r="J2" i="12"/>
  <c r="K2" i="12" s="1"/>
  <c r="I23" i="6"/>
  <c r="J23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3" i="6" s="1"/>
  <c r="I12" i="6"/>
  <c r="J12" i="6" s="1"/>
  <c r="I11" i="6"/>
  <c r="J11" i="6" s="1"/>
  <c r="I10" i="6"/>
  <c r="J10" i="6" s="1"/>
  <c r="I9" i="6"/>
  <c r="J9" i="6" s="1"/>
  <c r="I8" i="6"/>
  <c r="J8" i="6" s="1"/>
  <c r="I7" i="6"/>
  <c r="J7" i="6" s="1"/>
  <c r="I6" i="6"/>
  <c r="J6" i="6" s="1"/>
  <c r="I5" i="6"/>
  <c r="J5" i="6" s="1"/>
  <c r="I4" i="6"/>
  <c r="J4" i="6" s="1"/>
  <c r="J3" i="6"/>
  <c r="I3" i="6"/>
  <c r="K5" i="11"/>
  <c r="L5" i="11" s="1"/>
  <c r="K4" i="11"/>
  <c r="L4" i="11" s="1"/>
  <c r="K3" i="11"/>
  <c r="L3" i="11" s="1"/>
  <c r="K2" i="11"/>
  <c r="L2" i="11" s="1"/>
  <c r="K26" i="5"/>
  <c r="J26" i="5"/>
  <c r="J25" i="5"/>
  <c r="K25" i="5" s="1"/>
  <c r="J24" i="5"/>
  <c r="K24" i="5" s="1"/>
  <c r="J23" i="5"/>
  <c r="K23" i="5" s="1"/>
  <c r="J22" i="5"/>
  <c r="K22" i="5" s="1"/>
  <c r="J21" i="5"/>
  <c r="K21" i="5" s="1"/>
  <c r="K20" i="5"/>
  <c r="J20" i="5"/>
  <c r="J19" i="5"/>
  <c r="K19" i="5" s="1"/>
  <c r="J18" i="5"/>
  <c r="K18" i="5" s="1"/>
  <c r="J17" i="5"/>
  <c r="K17" i="5" s="1"/>
  <c r="K16" i="5"/>
  <c r="K15" i="5"/>
  <c r="J14" i="5"/>
  <c r="K14" i="5" s="1"/>
  <c r="K13" i="5"/>
  <c r="J13" i="5"/>
  <c r="J12" i="5"/>
  <c r="K12" i="5" s="1"/>
  <c r="J11" i="5"/>
  <c r="K11" i="5" s="1"/>
  <c r="J10" i="5"/>
  <c r="K10" i="5" s="1"/>
  <c r="J9" i="5"/>
  <c r="K9" i="5" s="1"/>
  <c r="J8" i="5"/>
  <c r="K8" i="5" s="1"/>
  <c r="K7" i="5"/>
  <c r="J7" i="5"/>
  <c r="J6" i="5"/>
  <c r="K6" i="5" s="1"/>
  <c r="J5" i="5"/>
  <c r="K5" i="5" s="1"/>
  <c r="J4" i="5"/>
  <c r="K4" i="5" s="1"/>
  <c r="J3" i="5"/>
  <c r="K3" i="5" s="1"/>
  <c r="J2" i="5"/>
  <c r="K2" i="5" s="1"/>
  <c r="I4" i="16"/>
  <c r="H3" i="16"/>
  <c r="I3" i="16" s="1"/>
  <c r="H2" i="16"/>
  <c r="I2" i="16" s="1"/>
  <c r="M16" i="3"/>
  <c r="L16" i="3"/>
  <c r="L15" i="3"/>
  <c r="M15" i="3" s="1"/>
  <c r="L14" i="3"/>
  <c r="M14" i="3" s="1"/>
  <c r="L13" i="3"/>
  <c r="M13" i="3" s="1"/>
  <c r="L12" i="3"/>
  <c r="M12" i="3" s="1"/>
  <c r="L11" i="3"/>
  <c r="M11" i="3" s="1"/>
  <c r="M10" i="3"/>
  <c r="L10" i="3"/>
  <c r="L9" i="3"/>
  <c r="M9" i="3" s="1"/>
  <c r="L8" i="3"/>
  <c r="M8" i="3" s="1"/>
  <c r="L7" i="3"/>
  <c r="M7" i="3" s="1"/>
  <c r="L6" i="3"/>
  <c r="M6" i="3" s="1"/>
  <c r="L5" i="3"/>
  <c r="M5" i="3" s="1"/>
  <c r="M4" i="3"/>
  <c r="L4" i="3"/>
  <c r="L3" i="3"/>
  <c r="M3" i="3" s="1"/>
  <c r="L2" i="3"/>
  <c r="M2" i="3" s="1"/>
  <c r="R16" i="17"/>
  <c r="S16" i="17" s="1"/>
  <c r="O16" i="17"/>
  <c r="Q16" i="17" s="1"/>
  <c r="R15" i="17"/>
  <c r="S15" i="17" s="1"/>
  <c r="O15" i="17"/>
  <c r="Q15" i="17" s="1"/>
  <c r="R14" i="17"/>
  <c r="S14" i="17" s="1"/>
  <c r="O14" i="17"/>
  <c r="Q14" i="17" s="1"/>
  <c r="R13" i="17"/>
  <c r="S13" i="17" s="1"/>
  <c r="O13" i="17"/>
  <c r="Q13" i="17" s="1"/>
  <c r="R12" i="17"/>
  <c r="S12" i="17" s="1"/>
  <c r="Q12" i="17"/>
  <c r="O12" i="17"/>
  <c r="R11" i="17"/>
  <c r="S11" i="17" s="1"/>
  <c r="O11" i="17"/>
  <c r="Q11" i="17" s="1"/>
  <c r="R10" i="17"/>
  <c r="S10" i="17" s="1"/>
  <c r="O10" i="17"/>
  <c r="Q10" i="17" s="1"/>
  <c r="R9" i="17"/>
  <c r="S9" i="17" s="1"/>
  <c r="O9" i="17"/>
  <c r="Q9" i="17" s="1"/>
  <c r="R8" i="17"/>
  <c r="S8" i="17" s="1"/>
  <c r="O8" i="17"/>
  <c r="Q8" i="17" s="1"/>
  <c r="R7" i="17"/>
  <c r="S7" i="17" s="1"/>
  <c r="O7" i="17"/>
  <c r="Q7" i="17" s="1"/>
  <c r="S6" i="17"/>
  <c r="O6" i="17"/>
  <c r="Q6" i="17" s="1"/>
  <c r="R5" i="17"/>
  <c r="S5" i="17" s="1"/>
  <c r="O5" i="17"/>
  <c r="Q5" i="17" s="1"/>
  <c r="R4" i="17"/>
  <c r="S4" i="17" s="1"/>
  <c r="O4" i="17"/>
  <c r="Q4" i="17" s="1"/>
  <c r="R3" i="17"/>
  <c r="S3" i="17" s="1"/>
  <c r="O3" i="17"/>
  <c r="Q3" i="17" s="1"/>
  <c r="S2" i="17"/>
  <c r="O2" i="17"/>
  <c r="Q2" i="17" s="1"/>
  <c r="N41" i="1"/>
  <c r="O41" i="1" s="1"/>
  <c r="M41" i="1"/>
  <c r="O40" i="1"/>
  <c r="N40" i="1"/>
  <c r="M40" i="1"/>
  <c r="N39" i="1"/>
  <c r="O39" i="1" s="1"/>
  <c r="M39" i="1"/>
  <c r="N38" i="1"/>
  <c r="O38" i="1" s="1"/>
  <c r="M38" i="1"/>
  <c r="N37" i="1"/>
  <c r="O37" i="1" s="1"/>
  <c r="M37" i="1"/>
  <c r="N36" i="1"/>
  <c r="O36" i="1" s="1"/>
  <c r="M36" i="1"/>
  <c r="N35" i="1"/>
  <c r="O35" i="1" s="1"/>
  <c r="M35" i="1"/>
  <c r="N34" i="1"/>
  <c r="O34" i="1" s="1"/>
  <c r="M34" i="1"/>
  <c r="N33" i="1"/>
  <c r="O33" i="1" s="1"/>
  <c r="M33" i="1"/>
  <c r="N32" i="1"/>
  <c r="O32" i="1" s="1"/>
  <c r="M32" i="1"/>
  <c r="O31" i="1"/>
  <c r="M31" i="1"/>
  <c r="N30" i="1"/>
  <c r="O30" i="1" s="1"/>
  <c r="M30" i="1"/>
  <c r="N29" i="1"/>
  <c r="O29" i="1" s="1"/>
  <c r="M29" i="1"/>
  <c r="N28" i="1"/>
  <c r="O28" i="1" s="1"/>
  <c r="M28" i="1"/>
  <c r="O27" i="1"/>
  <c r="M27" i="1"/>
  <c r="N26" i="1"/>
  <c r="O26" i="1" s="1"/>
  <c r="M26" i="1"/>
  <c r="N25" i="1"/>
  <c r="O25" i="1" s="1"/>
  <c r="M25" i="1"/>
  <c r="N24" i="1"/>
  <c r="O24" i="1" s="1"/>
  <c r="M24" i="1"/>
  <c r="N23" i="1"/>
  <c r="O23" i="1" s="1"/>
  <c r="M23" i="1"/>
  <c r="N22" i="1"/>
  <c r="O22" i="1" s="1"/>
  <c r="M22" i="1"/>
  <c r="N21" i="1"/>
  <c r="O21" i="1" s="1"/>
  <c r="M21" i="1"/>
  <c r="O20" i="1"/>
  <c r="M20" i="1"/>
  <c r="N19" i="1"/>
  <c r="O19" i="1" s="1"/>
  <c r="M19" i="1"/>
  <c r="N18" i="1"/>
  <c r="O18" i="1" s="1"/>
  <c r="M18" i="1"/>
  <c r="N17" i="1"/>
  <c r="O17" i="1" s="1"/>
  <c r="M17" i="1"/>
  <c r="O16" i="1"/>
  <c r="N16" i="1"/>
  <c r="M16" i="1"/>
  <c r="N15" i="1"/>
  <c r="O15" i="1" s="1"/>
  <c r="M15" i="1"/>
  <c r="O14" i="1"/>
  <c r="M14" i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O9" i="1" s="1"/>
  <c r="M9" i="1"/>
  <c r="O8" i="1"/>
  <c r="N8" i="1"/>
  <c r="M8" i="1"/>
  <c r="N7" i="1"/>
  <c r="O7" i="1" s="1"/>
  <c r="M7" i="1"/>
  <c r="N6" i="1"/>
  <c r="O6" i="1" s="1"/>
  <c r="M6" i="1"/>
  <c r="N5" i="1"/>
  <c r="O5" i="1" s="1"/>
  <c r="M5" i="1"/>
  <c r="N4" i="1"/>
  <c r="O4" i="1" s="1"/>
  <c r="M4" i="1"/>
  <c r="N3" i="1"/>
  <c r="O3" i="1" s="1"/>
  <c r="M3" i="1"/>
  <c r="N2" i="1"/>
  <c r="O2" i="1" s="1"/>
  <c r="M2" i="1"/>
</calcChain>
</file>

<file path=xl/sharedStrings.xml><?xml version="1.0" encoding="utf-8"?>
<sst xmlns="http://schemas.openxmlformats.org/spreadsheetml/2006/main" count="4051" uniqueCount="1464">
  <si>
    <t>Part Number</t>
  </si>
  <si>
    <t>Description</t>
  </si>
  <si>
    <t>Manufacturer</t>
  </si>
  <si>
    <t>Package</t>
  </si>
  <si>
    <t>Value</t>
  </si>
  <si>
    <t>Voltage_V</t>
  </si>
  <si>
    <t>Dielectric_Class</t>
  </si>
  <si>
    <t>Tolerance</t>
  </si>
  <si>
    <t>Type</t>
  </si>
  <si>
    <t>Library Path</t>
  </si>
  <si>
    <t>Library Ref</t>
  </si>
  <si>
    <t>Footprint Path 1</t>
  </si>
  <si>
    <t>Footprint Ref 1</t>
  </si>
  <si>
    <t>Footprint Path 2</t>
  </si>
  <si>
    <t>Footprint Ref 2</t>
  </si>
  <si>
    <t>UID</t>
  </si>
  <si>
    <t>PnP_name</t>
  </si>
  <si>
    <t>GRM1555C1H103JE01</t>
  </si>
  <si>
    <t>10nF ±5% 50V C0G 0402 Multilayer Ceramic Capacitor</t>
  </si>
  <si>
    <t>0402</t>
  </si>
  <si>
    <t>0.01uF</t>
  </si>
  <si>
    <t>NP0</t>
  </si>
  <si>
    <t>±5%</t>
  </si>
  <si>
    <t>Ceramic</t>
  </si>
  <si>
    <t>./symbols/passive/cap.schlib</t>
  </si>
  <si>
    <t>CAP</t>
  </si>
  <si>
    <t>./footprints/passive/cap.pcblib</t>
  </si>
  <si>
    <t>GCM155R71C683MA55D</t>
  </si>
  <si>
    <t>0.068uF±10% 50V X7R 0402 Multilayer Ceramic Capacitor</t>
  </si>
  <si>
    <t>0.068uF</t>
  </si>
  <si>
    <t>X7R</t>
  </si>
  <si>
    <t>±20%</t>
  </si>
  <si>
    <t>GRM155R71C104KA88</t>
  </si>
  <si>
    <t>0.1uF</t>
  </si>
  <si>
    <t>±10%</t>
  </si>
  <si>
    <t>GRM155R61H104KE19</t>
  </si>
  <si>
    <t>Ceramic Chip Capacitor 0402 X5R 100nF ±10% 50V</t>
  </si>
  <si>
    <t>X5R</t>
  </si>
  <si>
    <t>GRM155R61C104KA88D</t>
  </si>
  <si>
    <t>0.1µF ±10% 16V X5R 0402 Multilayer Ceramic Capacitor</t>
  </si>
  <si>
    <t>GRM155R61C224ME01D</t>
  </si>
  <si>
    <t>0.47µF ±20% 16V X5R 0402 Multilayer Ceramic Capacitor</t>
  </si>
  <si>
    <t>0.22uF</t>
  </si>
  <si>
    <t>C2220C474J5GACTU</t>
  </si>
  <si>
    <t>0.47µF ±5% 50V C0G 2220 Multilayer Ceramic Capacitor</t>
  </si>
  <si>
    <t>KEMET</t>
  </si>
  <si>
    <t>0.47uF</t>
  </si>
  <si>
    <t>GRM155R61C474ME01D</t>
  </si>
  <si>
    <t>GRM1555C1H102JA01</t>
  </si>
  <si>
    <t>Ceramic Chip Capacitor 0402 NP0 1000pF ±5% 50V</t>
  </si>
  <si>
    <t>1000pF</t>
  </si>
  <si>
    <t>GRM1555C1H101GA01</t>
  </si>
  <si>
    <t>100pF ±2% 50V C0G 0402 Multilayer Ceramic Capacitor</t>
  </si>
  <si>
    <t>100pF</t>
  </si>
  <si>
    <t>±2%</t>
  </si>
  <si>
    <t>GRM1555C1H100JA01D</t>
  </si>
  <si>
    <t>10pF ±5% 50V C0G 0402 Multilayer Ceramic Capacitor</t>
  </si>
  <si>
    <t>10pF</t>
  </si>
  <si>
    <t>GRM21BR61H106KE43</t>
  </si>
  <si>
    <t>Ceramic Chip Capacitor 0805 X5R 10µF ±10% 50V</t>
  </si>
  <si>
    <t>0805</t>
  </si>
  <si>
    <t>10uF</t>
  </si>
  <si>
    <t>T491A106K010AT</t>
  </si>
  <si>
    <t>10µF ±10% 10V Tantalum SMD Capacitor, 1206 Package, ESR 3.8Ω, Operating Temperature -55°C to +125°C</t>
  </si>
  <si>
    <t>CAP-ELECTROLYTIC</t>
  </si>
  <si>
    <t>C-A-10-10uF K</t>
  </si>
  <si>
    <t>GRJ155R60J106ME11</t>
  </si>
  <si>
    <t>Ceramic Chip Capacitor 0402 X5R 10µF ±10% 6V3</t>
  </si>
  <si>
    <t>6.3</t>
  </si>
  <si>
    <t>GRM155R71H152JA01D</t>
  </si>
  <si>
    <t>1.5nF ±5% 50V X7R 0402 Multilayer Ceramic Capacitor</t>
  </si>
  <si>
    <t>1500pF</t>
  </si>
  <si>
    <t>GCG155R71H182KA01D</t>
  </si>
  <si>
    <t>1800pF±10% 50V X7R 0402 Multilayer Ceramic Capacitor</t>
  </si>
  <si>
    <t>1800pF</t>
  </si>
  <si>
    <t>GRM155R61E105MA12D</t>
  </si>
  <si>
    <t>1uF ±20% 25V X5R 0402 Multilayer Ceramic Capacitor</t>
  </si>
  <si>
    <t>1uF</t>
  </si>
  <si>
    <t>GRM155R71H222KA01D</t>
  </si>
  <si>
    <t>2,2nF ±10% 50V X7R 0402 Multilayer Ceramic Capacitor</t>
  </si>
  <si>
    <t>2200pF</t>
  </si>
  <si>
    <t>UUD1H221MNL1GS</t>
  </si>
  <si>
    <t>220µF ±20% 50V SMD Aluminum Electrolytic Capacitor</t>
  </si>
  <si>
    <t>Nichicon</t>
  </si>
  <si>
    <t>10x10</t>
  </si>
  <si>
    <t>220uF</t>
  </si>
  <si>
    <t>Aluminum</t>
  </si>
  <si>
    <t>C-UUD1H221MNL1GS</t>
  </si>
  <si>
    <t>CM105X5R226M16AT</t>
  </si>
  <si>
    <t>22uF ± 20% 16V X5R 0603 Multilayer Ceramic Capacitor</t>
  </si>
  <si>
    <t>0603</t>
  </si>
  <si>
    <t>22uF</t>
  </si>
  <si>
    <t>GRM155R71H332KA01D</t>
  </si>
  <si>
    <t>3,3nF ±10% 50V X7R 0402 Multilayer Ceramic Capacitor</t>
  </si>
  <si>
    <t>3300pF</t>
  </si>
  <si>
    <t>GRM1555C1H391JA01D</t>
  </si>
  <si>
    <t>390pF±5% 50V C0G Multilayer Ceramic Capacitor</t>
  </si>
  <si>
    <t>390pF</t>
  </si>
  <si>
    <t>GRM1555C1H390JA01D</t>
  </si>
  <si>
    <t>39pF ±5% 50V C0G 0402 Multilayer Ceramic Capacitor</t>
  </si>
  <si>
    <t>39pF</t>
  </si>
  <si>
    <t>GRM155R71H472KA01D</t>
  </si>
  <si>
    <t>4,7nF ±10% 50V X7R 0402 Multilayer Ceramic Capacitor</t>
  </si>
  <si>
    <t>4700pF</t>
  </si>
  <si>
    <t>GRM188R60J476ME01J</t>
  </si>
  <si>
    <t>47uF ± 20% 6,3V X5R 0603 Multilayer Ceramic Capacitor</t>
  </si>
  <si>
    <t>47uF</t>
  </si>
  <si>
    <t>UUD1V680MCL1GS</t>
  </si>
  <si>
    <t>68µF ±20% 35V SMD Aluminum Electrolytic Capacitor</t>
  </si>
  <si>
    <t>6.3x7.7</t>
  </si>
  <si>
    <t>68uF</t>
  </si>
  <si>
    <t>C-UUD1V680MCL1GS</t>
  </si>
  <si>
    <t>GRM155R71H822KA88D</t>
  </si>
  <si>
    <t>8.2nF ±10% 50V X7R 0402 Multilayer Ceramic Capacitor</t>
  </si>
  <si>
    <t>8200pF</t>
  </si>
  <si>
    <t>GRM31CR60J107KE9L</t>
  </si>
  <si>
    <t>100uF ± 10% 6V3 X5R 1206 Multilayer Ceramic Capacitor</t>
  </si>
  <si>
    <t>100uF</t>
  </si>
  <si>
    <t>GRM32ER71E226KE15L</t>
  </si>
  <si>
    <t>22uF ± 10% 25V X7R 1210 Multilayer Ceramic Capacitor</t>
  </si>
  <si>
    <t>GRM1555C1H4R7WA01D</t>
  </si>
  <si>
    <t>4.7pF ±0.05pF 50V C0G 0402 Multilayer Ceramic Capacitor</t>
  </si>
  <si>
    <t>4.7pF</t>
  </si>
  <si>
    <t>±0,1pF</t>
  </si>
  <si>
    <t>C-0402-NP0-50-4.7pF B</t>
  </si>
  <si>
    <t>GRM155R61A106ME11D</t>
  </si>
  <si>
    <t>10uF ±20% 10V X5R 0402 Multilayer Ceramic Capacitor</t>
  </si>
  <si>
    <t>GRM033R61E104KE14J</t>
  </si>
  <si>
    <t>0.1uF±10% 25V X5R 0201 Multilayer Ceramic Capacitor</t>
  </si>
  <si>
    <t>0201</t>
  </si>
  <si>
    <t>GCM155R71C223MA55D</t>
  </si>
  <si>
    <t>0.022uF±10% 50V X7R 0402 Multilayer Ceramic Capacitor</t>
  </si>
  <si>
    <t>0.022uF</t>
  </si>
  <si>
    <t>GRM033R61A105ME15J</t>
  </si>
  <si>
    <t>Multilayer Ceramic Capacitors MLCC - SMD/SMT 1 uF 10 VDC 20% 0201 X5R</t>
  </si>
  <si>
    <t>GRM035R60J475ME15D</t>
  </si>
  <si>
    <t>Multilayer Ceramic Capacitors MLCC - SMD/SMT 4.7 uF 6,3 VDC 20% 0201 X5R</t>
  </si>
  <si>
    <t>4.7uF</t>
  </si>
  <si>
    <t>GRM155R61A475MEAAD</t>
  </si>
  <si>
    <t>Multilayer Ceramic Capacitors MLCC - SMD/SMT 4.7 uF 10 VDC 20% 0402 X5R</t>
  </si>
  <si>
    <t>CC0603JRNPO9BN182</t>
  </si>
  <si>
    <t>CAP CER 1800PF 50V C0G/NPO 0603</t>
  </si>
  <si>
    <t>YAGEO</t>
  </si>
  <si>
    <t>C0805V123KCRACTU</t>
  </si>
  <si>
    <t>CAP CER 0.012UF 25V C0G/NP0 0603</t>
  </si>
  <si>
    <t>0.012uF</t>
  </si>
  <si>
    <t>GRM31C5C1E334JE01L</t>
  </si>
  <si>
    <t>CAP CER 0.33UF 25V C0G/NP0 1206</t>
  </si>
  <si>
    <t>0.33uF</t>
  </si>
  <si>
    <t>GRM1555C1H131JA01D</t>
  </si>
  <si>
    <t>130pF±5% 50V C0G Multilayer Ceramic Capacitor</t>
  </si>
  <si>
    <t>130pF</t>
  </si>
  <si>
    <t>SRF</t>
  </si>
  <si>
    <t>ComponentClass</t>
  </si>
  <si>
    <t>Vin</t>
  </si>
  <si>
    <t>Vout</t>
  </si>
  <si>
    <t>Footprint Path</t>
  </si>
  <si>
    <t>Footprint Ref</t>
  </si>
  <si>
    <t>PnP_Name</t>
  </si>
  <si>
    <t>ADM7150ACPZ-3.3</t>
  </si>
  <si>
    <t>linear regulator that operates from 4.5 V to 16 V and provides up to 800 mA of output current</t>
  </si>
  <si>
    <t>Analog Devices</t>
  </si>
  <si>
    <t>LFCSP-8</t>
  </si>
  <si>
    <t>4.5 to 16</t>
  </si>
  <si>
    <t>3.3</t>
  </si>
  <si>
    <t>LDO</t>
  </si>
  <si>
    <t>./symbols/IC/Power/LDO.SchLib</t>
  </si>
  <si>
    <t>./footprints/IC/IC.PcbLib</t>
  </si>
  <si>
    <t>CP-8-21</t>
  </si>
  <si>
    <t>ADM7154ACPZ-1.8-R7</t>
  </si>
  <si>
    <t>2.3 to 5.5</t>
  </si>
  <si>
    <t>1.8</t>
  </si>
  <si>
    <t>ADM7154ACPZ-1.8</t>
  </si>
  <si>
    <t>ADM7170ACPZ-R7</t>
  </si>
  <si>
    <t>a CMOS, low dropout linear regulator (LDO) that operates from 2.3 V to 6.5 V and provides up to 2 A of output current</t>
  </si>
  <si>
    <t>2.3 to 6.5</t>
  </si>
  <si>
    <t>1.2 to 6</t>
  </si>
  <si>
    <t>ADM7172ACPZ</t>
  </si>
  <si>
    <t>ADM7172ACPZ-R7</t>
  </si>
  <si>
    <t>ADP151AUJZ-1.8</t>
  </si>
  <si>
    <t>Linear Voltage Regulator IC Positive Fixed 1 Output 200mA TSOT-23-5</t>
  </si>
  <si>
    <t>TSOT-23-5</t>
  </si>
  <si>
    <t>2.2 to 5.5</t>
  </si>
  <si>
    <t>ADP151AUJZ-2.5</t>
  </si>
  <si>
    <t>SOT23-5</t>
  </si>
  <si>
    <t>2.5</t>
  </si>
  <si>
    <t>ADP1763ACPZ</t>
  </si>
  <si>
    <t>a low noise, low dropout (LDO) linear regulator</t>
  </si>
  <si>
    <t>LFCSP-16</t>
  </si>
  <si>
    <t>1.1 to 1.98</t>
  </si>
  <si>
    <t>0.9 to 1.5</t>
  </si>
  <si>
    <t>ADP2166ACPZ-1.0-R7</t>
  </si>
  <si>
    <t>high efficiency, current mode control, step-down dc-to-dc regulators with an integrated 19 mΩ high-side FET and a 15 mΩ synchronous rectified FET</t>
  </si>
  <si>
    <t>LFCSP-24</t>
  </si>
  <si>
    <t>2.7 to 5.5</t>
  </si>
  <si>
    <t>DC/DC</t>
  </si>
  <si>
    <t>./symbols/IC/Power/DC_DC.SchLib</t>
  </si>
  <si>
    <t>ADP2166</t>
  </si>
  <si>
    <t>CP-24-15</t>
  </si>
  <si>
    <t>ADP5054ACPZ</t>
  </si>
  <si>
    <t>four high performance buck regulators in a 48-lead LFCSP package</t>
  </si>
  <si>
    <t>LFCSP-48</t>
  </si>
  <si>
    <t>4.5 to 15.5</t>
  </si>
  <si>
    <t>0.8 to 15</t>
  </si>
  <si>
    <t>Texas Instruments</t>
  </si>
  <si>
    <t>TO-263-5</t>
  </si>
  <si>
    <t>4 to 40</t>
  </si>
  <si>
    <t>1.21 to 60</t>
  </si>
  <si>
    <t>LM2585</t>
  </si>
  <si>
    <t>LM2664M6X</t>
  </si>
  <si>
    <t>Switching Voltage Regulators Switched Capacitor Vtg Cnvtr</t>
  </si>
  <si>
    <t>SOT23-6</t>
  </si>
  <si>
    <t>1.8 to 5.5</t>
  </si>
  <si>
    <t>-5.5 to -1.8</t>
  </si>
  <si>
    <t>LM2664</t>
  </si>
  <si>
    <t>LM27762DSS</t>
  </si>
  <si>
    <t>Low-Noise Positive and Negative Output Integrated Charge Pump Plus LDO</t>
  </si>
  <si>
    <t>WSON-12</t>
  </si>
  <si>
    <t>1.5 to 5.5</t>
  </si>
  <si>
    <t>-5.5 to -1.5</t>
  </si>
  <si>
    <t>LP38690SD-5.0</t>
  </si>
  <si>
    <t>1-A, 10-V, low-dropout voltage regulator</t>
  </si>
  <si>
    <t>WSON-6</t>
  </si>
  <si>
    <t>5.5 to 10V</t>
  </si>
  <si>
    <t>LP38690</t>
  </si>
  <si>
    <t>LP5912-5.0DRVR</t>
  </si>
  <si>
    <t>LDO Voltage Regulators 500-mA, low-noise, low-IQ, low-dropout voltage regulator with reverse current protection 6-WSON -40 to 125</t>
  </si>
  <si>
    <t>1.6 to 6.5</t>
  </si>
  <si>
    <t>LP5912</t>
  </si>
  <si>
    <t>LT1764EFE#PBF</t>
  </si>
  <si>
    <t>LDO Voltage Regulators 3A, Fast Transient Response, Low Noise, LDO Regulators</t>
  </si>
  <si>
    <t>TSSOP-16</t>
  </si>
  <si>
    <t>2.7 to 20</t>
  </si>
  <si>
    <t>1.21 to 20</t>
  </si>
  <si>
    <t>LT1764</t>
  </si>
  <si>
    <t>TSSOP-16-EPAD</t>
  </si>
  <si>
    <t>LT1965EDD#PBF</t>
  </si>
  <si>
    <t>series are lownoise, lowdropout linear regulators. The devices supply 1.1A of output current with a 310mVtypicaldropoutvoltage</t>
  </si>
  <si>
    <t>DFN-8</t>
  </si>
  <si>
    <t>3.5 to 20</t>
  </si>
  <si>
    <t>1.8 to 20</t>
  </si>
  <si>
    <t>LT1965</t>
  </si>
  <si>
    <t>DFN8-3x3</t>
  </si>
  <si>
    <t>LT8612EUDE</t>
  </si>
  <si>
    <t>compact, high efficiency, high speed synchronous monolithic step-down switching regulator</t>
  </si>
  <si>
    <t>QFN-28</t>
  </si>
  <si>
    <t>3.4 to 42</t>
  </si>
  <si>
    <t>0.97 to 41.6</t>
  </si>
  <si>
    <t>LTM4644</t>
  </si>
  <si>
    <t>Quad DC/DC µModule Regulator with Configurable 4A Output Arra</t>
  </si>
  <si>
    <t>BGA-77</t>
  </si>
  <si>
    <t>4 to 14</t>
  </si>
  <si>
    <t>0.5 to 5.5</t>
  </si>
  <si>
    <t>BGA77C127</t>
  </si>
  <si>
    <t>LTM4732</t>
  </si>
  <si>
    <t>16VIN, 4A Ultralow Noise Silent Switcher 3 μModule Regulator</t>
  </si>
  <si>
    <t>BGA-28</t>
  </si>
  <si>
    <t>3 to 14</t>
  </si>
  <si>
    <t>0.3 to 6</t>
  </si>
  <si>
    <t>BGA28C127</t>
  </si>
  <si>
    <t>SGM2208XTDF12G/TR</t>
  </si>
  <si>
    <t>low noise, adjustable output and low dropout voltage linear regulator</t>
  </si>
  <si>
    <t>SGMICRO</t>
  </si>
  <si>
    <t>TDFN-3×3-12L</t>
  </si>
  <si>
    <t>0 to 24</t>
  </si>
  <si>
    <t>2.7 to 25</t>
  </si>
  <si>
    <t>SGM2208</t>
  </si>
  <si>
    <t>TLV73310PDBVR</t>
  </si>
  <si>
    <t>Linear Voltage Regulator IC Positive Fixed 1 Output 300mA SOT-23-5</t>
  </si>
  <si>
    <t>SOT-23-5</t>
  </si>
  <si>
    <t>1.4 to 5.5</t>
  </si>
  <si>
    <t>1</t>
  </si>
  <si>
    <t>TLV73318PDBVR</t>
  </si>
  <si>
    <t>Linear Voltage Regulator IC Positive Fixed 1.8 Output 300mA SOT-23-5</t>
  </si>
  <si>
    <t>TPS54332DDAR</t>
  </si>
  <si>
    <t>28-V, 3.5-A non-synchronous
buck converter that integrates a low-RDS(on) highside MOSFET</t>
  </si>
  <si>
    <t>HSOIC-8</t>
  </si>
  <si>
    <t>3.5 to 28</t>
  </si>
  <si>
    <t>0.8 to 28</t>
  </si>
  <si>
    <t>TPS54332</t>
  </si>
  <si>
    <t>TPS54394RSAR</t>
  </si>
  <si>
    <t>a dual, adaptive on-time D-CAP2™ mode synchronous buck converter</t>
  </si>
  <si>
    <t>VQFN-16</t>
  </si>
  <si>
    <t>4.5 to 18</t>
  </si>
  <si>
    <t>0.76 to 7</t>
  </si>
  <si>
    <t>TPS566238RQFR</t>
  </si>
  <si>
    <t>simple, easy-to-use, highefficiency, 6-A synchronous buck converters in a QFN 9-pin 1.5-mm × 2.0-mm package</t>
  </si>
  <si>
    <t>QFN-9</t>
  </si>
  <si>
    <t>3 to 18</t>
  </si>
  <si>
    <t>0.6 to 7</t>
  </si>
  <si>
    <t>TPS56623x</t>
  </si>
  <si>
    <t>VQFN-HR-9</t>
  </si>
  <si>
    <t>TPS7A5401RPSR</t>
  </si>
  <si>
    <t>4 is a low-noise (4.4 µVRMS), low-dropout linear regulator (LDO) capable of sourcing 4 A with only 175 mV of maximum dropout</t>
  </si>
  <si>
    <t>VQFN-12</t>
  </si>
  <si>
    <t>1.1 to 6.5</t>
  </si>
  <si>
    <t>0.8 to 5.15</t>
  </si>
  <si>
    <t>TPS7A54</t>
  </si>
  <si>
    <t>VQFN-HR-12</t>
  </si>
  <si>
    <t>TPS7A8801RTJ</t>
  </si>
  <si>
    <t>1-A, low-noise, high-PSRR, dual-channel adjustable ultra-low-dropout voltage regulator</t>
  </si>
  <si>
    <t>WQFN-20</t>
  </si>
  <si>
    <t>1.4 to 6.5</t>
  </si>
  <si>
    <t>0.8 to 5</t>
  </si>
  <si>
    <t>TPS7A88</t>
  </si>
  <si>
    <t>TPS82140SILT</t>
  </si>
  <si>
    <t>17-V Input 2-A Step-Down Converter MicroSiP™ Module with Integrated Inductor</t>
  </si>
  <si>
    <t>µSiL-8</t>
  </si>
  <si>
    <t>3 to 17</t>
  </si>
  <si>
    <t>-17 to -3</t>
  </si>
  <si>
    <t>uSIL-8</t>
  </si>
  <si>
    <t>LTM4707</t>
  </si>
  <si>
    <t>6A Ultralow Noise Silent Switcher 3 µModule Regulator</t>
  </si>
  <si>
    <t>BGA-49</t>
  </si>
  <si>
    <t>3 to 16</t>
  </si>
  <si>
    <t>BGA49C80P7X7</t>
  </si>
  <si>
    <t>RC0402FR-070RL</t>
  </si>
  <si>
    <t>0Ω ±1% 0.063W 0402 Thick Film Chip Resistor</t>
  </si>
  <si>
    <t>Yageo</t>
  </si>
  <si>
    <t>0R</t>
  </si>
  <si>
    <t>±1%</t>
  </si>
  <si>
    <t>./symbols/Passive/res.Schlib</t>
  </si>
  <si>
    <t>RES</t>
  </si>
  <si>
    <t>./footprints/Passive/res.pcblib</t>
  </si>
  <si>
    <t>RC0805FR-070RL</t>
  </si>
  <si>
    <t>0Ω ±1% 0.125W 0805 Thick Film Chip Resistor</t>
  </si>
  <si>
    <t>RC0402FR-07100KL</t>
  </si>
  <si>
    <t>100kΩ ±1% 0.063W 0402 Thick Film Chip Resistor</t>
  </si>
  <si>
    <t>100K</t>
  </si>
  <si>
    <t>RC0402FR-07100RL</t>
  </si>
  <si>
    <t>100Ω ±1% 0.063W 0402 Thick Film Chip Resistor</t>
  </si>
  <si>
    <t>100R</t>
  </si>
  <si>
    <t>RC0402FR-0710KL</t>
  </si>
  <si>
    <t>10kΩ ±1% 0.063W 0402 Thick Film Chip Resistor</t>
  </si>
  <si>
    <t>10K</t>
  </si>
  <si>
    <t>RC0402FR-0710K2L</t>
  </si>
  <si>
    <t>10.2kΩ ±1% 0.063W 0402 Thick Film Chip Resistor</t>
  </si>
  <si>
    <t>10K2</t>
  </si>
  <si>
    <t>RC0402FR-0710K7L</t>
  </si>
  <si>
    <t>10.7kΩ ±1% 0.063W 0402 Thick Film Chip Resistor</t>
  </si>
  <si>
    <t>10K7</t>
  </si>
  <si>
    <t>RC0402FR-0715KL</t>
  </si>
  <si>
    <t>15kΩ ±1% 0.063W 0402 Thick Film Chip Resistor</t>
  </si>
  <si>
    <t>15K</t>
  </si>
  <si>
    <t>RC0402FR-07160KL</t>
  </si>
  <si>
    <t>160kΩ ±1% 0.063W 0402 Thick Film Chip Resistor</t>
  </si>
  <si>
    <t>160K</t>
  </si>
  <si>
    <t>RC0402FR-0717K8L</t>
  </si>
  <si>
    <t>17.8kΩ ±1% 0.063W 0402 Thick Film Chip Resistor</t>
  </si>
  <si>
    <t>17K8</t>
  </si>
  <si>
    <t>RC0402FR-0718R2L</t>
  </si>
  <si>
    <t>18.2Ω ±1% 0.063W 0402 Thick Film Chip Resistor</t>
  </si>
  <si>
    <t>18R2</t>
  </si>
  <si>
    <t>RC0402FR-071KL</t>
  </si>
  <si>
    <t>1kΩ ±1% 0.063W 0402 Thick Film Chip Resistor</t>
  </si>
  <si>
    <t>1K</t>
  </si>
  <si>
    <t>RC0402FR-071K05L</t>
  </si>
  <si>
    <t>1.05kΩ ±1% 0.063W 0402 Thick Film Chip Resistor</t>
  </si>
  <si>
    <t>1K05</t>
  </si>
  <si>
    <t>RC0402FR-071K5L</t>
  </si>
  <si>
    <t>1.5kΩ ±1% 0.063W 0402 Thick Film Chip Resistor</t>
  </si>
  <si>
    <t>1K5</t>
  </si>
  <si>
    <t>RC0402FR-07200KL</t>
  </si>
  <si>
    <t>220kΩ±1% 0.063W 0402 Thick Film Chip Resistor</t>
  </si>
  <si>
    <t>200K</t>
  </si>
  <si>
    <t>RC0402FR-07220KL</t>
  </si>
  <si>
    <t>220K</t>
  </si>
  <si>
    <t>RC0402FR-0724R9L</t>
  </si>
  <si>
    <t>24.9Ω ±1% 0.063W 0402 Thick Film Chip Resistor</t>
  </si>
  <si>
    <t>24R9</t>
  </si>
  <si>
    <t>RC0402FR-072KL</t>
  </si>
  <si>
    <t>2kΩ ±1% 0.063W 0402 Thick Film Chip Resistor</t>
  </si>
  <si>
    <t>2K</t>
  </si>
  <si>
    <t>RC0402FR-0731K6L</t>
  </si>
  <si>
    <t>31.6kΩ ±1% 0.063W 0402 Thick Film Chip Resistor</t>
  </si>
  <si>
    <t>31K6</t>
  </si>
  <si>
    <t>RC0402FR-0733RL</t>
  </si>
  <si>
    <t>33Ω ±1% 0.063W 0402 Thick Film Chip Resistor</t>
  </si>
  <si>
    <t>33R</t>
  </si>
  <si>
    <t>RC0402FR-073KL</t>
  </si>
  <si>
    <t>3kΩ ±1% 0.063W 0402 Thick Film Chip Resistor</t>
  </si>
  <si>
    <t>3K</t>
  </si>
  <si>
    <t>RC0402FR-073K9L</t>
  </si>
  <si>
    <t>3.9kΩ ±1% 0.063W 0402 Thick Film Chip Resistor</t>
  </si>
  <si>
    <t>3K9</t>
  </si>
  <si>
    <t>RC0402FR-0740K2L</t>
  </si>
  <si>
    <t>40.2kΩ±1% 0.063W 0402 Thick Film Chip Resistor</t>
  </si>
  <si>
    <t>40K2</t>
  </si>
  <si>
    <t>RC0402FR-0747K5L</t>
  </si>
  <si>
    <t>47.5kΩ ±1% 0.063W 0402 Thick Film Chip Resistor</t>
  </si>
  <si>
    <t>47K5</t>
  </si>
  <si>
    <t>RC0402FR-07499KL</t>
  </si>
  <si>
    <t>499kΩ±1% 0.063W 0402 Thick Film Chip Resistor</t>
  </si>
  <si>
    <t>499K</t>
  </si>
  <si>
    <t>RC0402FR-0750RL</t>
  </si>
  <si>
    <t>50Ω ±1% 0.063W 0402 Thick Film Chip Resistor</t>
  </si>
  <si>
    <t>50R</t>
  </si>
  <si>
    <t>RC0402FR-07560RL</t>
  </si>
  <si>
    <t>560R</t>
  </si>
  <si>
    <t>RC0402FR-0756KL</t>
  </si>
  <si>
    <t>56kΩ ±1% 0.063W 0402 Thick Film Chip Resistor</t>
  </si>
  <si>
    <t>56K</t>
  </si>
  <si>
    <t>RC0402FR-074K99L</t>
  </si>
  <si>
    <t>4.99kΩ ±1% 0.063W 0402 Thick Film Chip Resistor</t>
  </si>
  <si>
    <t>4K99</t>
  </si>
  <si>
    <t>RC0402FR-0768R1L</t>
  </si>
  <si>
    <t>68.1Ω ±1% 0.063W 0402 Thick Film Chip Resistor</t>
  </si>
  <si>
    <t>68R1</t>
  </si>
  <si>
    <t>RC0402FR-076K81L</t>
  </si>
  <si>
    <t>6.81kΩ ±1% 0.063W 0402 Thick Film Chip Resistor</t>
  </si>
  <si>
    <t>6K81</t>
  </si>
  <si>
    <t>RC0402FR-078K66L</t>
  </si>
  <si>
    <t>8.66kΩ ±1% 0.063W 0402 Thick Film Chip Resistor</t>
  </si>
  <si>
    <t>8K66</t>
  </si>
  <si>
    <t>RC0402FR-0766K5L</t>
  </si>
  <si>
    <t>66.5kΩ±1% 0.063W 0402 Thick Film Chip Resistor</t>
  </si>
  <si>
    <t>66K5</t>
  </si>
  <si>
    <t>RC0402FR-0718K2L</t>
  </si>
  <si>
    <t>18.2kΩ±1% 0.063W 0402 Thick Film Chip Resistor</t>
  </si>
  <si>
    <t>18K2</t>
  </si>
  <si>
    <t>RC0402FR-071ML</t>
  </si>
  <si>
    <t>1MΩ±1% 0.063W 0402 Thick Film Chip Resistor</t>
  </si>
  <si>
    <t>1M</t>
  </si>
  <si>
    <t>RC0402FR-07243KL</t>
  </si>
  <si>
    <t>243kΩ±1% 0.063W 0402 Thick Film Chip Resistor</t>
  </si>
  <si>
    <t>243K</t>
  </si>
  <si>
    <t>RC0402FR-07412KL</t>
  </si>
  <si>
    <t>412kΩ±1% 0.063W 0402 Thick Film Chip Resistor</t>
  </si>
  <si>
    <t>412K</t>
  </si>
  <si>
    <t>RC0402FR-07866KL</t>
  </si>
  <si>
    <t>866kΩ±1% 0.063W 0402 Thick Film Chip Resistor</t>
  </si>
  <si>
    <t>866K</t>
  </si>
  <si>
    <t>RC0402FR-0712KL</t>
  </si>
  <si>
    <t>12kΩ ±1% 0.063W 0402 Thick Film Chip Resistor</t>
  </si>
  <si>
    <t>12K</t>
  </si>
  <si>
    <t>RC0402FR-07200RL</t>
  </si>
  <si>
    <t>200Ω ±1% 0.063W 0402 Thick Film Chip Resistor</t>
  </si>
  <si>
    <t>200R</t>
  </si>
  <si>
    <t>RC0402FR-0711KL</t>
  </si>
  <si>
    <t>11kΩ ±1% 0.063W 0402 Thick Film Chip Resistor</t>
  </si>
  <si>
    <t>11K</t>
  </si>
  <si>
    <t>RC0402FR-072K49L</t>
  </si>
  <si>
    <t>2.49kΩ ±1% 0.063W 0402 Thick Film Chip Resistor</t>
  </si>
  <si>
    <t>2K49</t>
  </si>
  <si>
    <t>RC0402FR-075K76L</t>
  </si>
  <si>
    <t>5.76kΩ ±1% 0.063W 0402 Thick Film Chip Resistor</t>
  </si>
  <si>
    <t>5K76</t>
  </si>
  <si>
    <t>RC0402FR-07330RL</t>
  </si>
  <si>
    <t>330Ω ±1% 0.063W 0402 Thick Film Chip Resistor</t>
  </si>
  <si>
    <t>330R</t>
  </si>
  <si>
    <t>RC0402FR-07120RL</t>
  </si>
  <si>
    <t>120Ω ±1% 0.063W 0402 Thick Film Chip Resistor</t>
  </si>
  <si>
    <t>120R</t>
  </si>
  <si>
    <t>RC0402FR-0752K3L</t>
  </si>
  <si>
    <t>52.3kΩ±1% 0.063W 0402 Thick Film Chip Resistor</t>
  </si>
  <si>
    <t>52K3</t>
  </si>
  <si>
    <t>RC0402FR-0775KL</t>
  </si>
  <si>
    <t>75kΩ±1% 0.063W 0402 Thick Film Chip Resistor</t>
  </si>
  <si>
    <t>75K</t>
  </si>
  <si>
    <t>RC0201FR-07100RL</t>
  </si>
  <si>
    <t>100Ω ±1% 0.05W 0201 Thick Film Chip Resistor</t>
  </si>
  <si>
    <t>RC0402FR-0722K1L</t>
  </si>
  <si>
    <t>22.1KΩ ±1% 0.05W 0402 Thick Film Chip Resistor</t>
  </si>
  <si>
    <t>22K1</t>
  </si>
  <si>
    <t>RC0402FR-0793K1L</t>
  </si>
  <si>
    <t>93.1KΩ ±1% 0.05W 0402 Thick Film Chip Resistor</t>
  </si>
  <si>
    <t>93K1</t>
  </si>
  <si>
    <t>RC0402FR-07165KL</t>
  </si>
  <si>
    <t>165KΩ ±1% 0.05W 0402 Thick Film Chip Resistor</t>
  </si>
  <si>
    <t>165K</t>
  </si>
  <si>
    <t>RC0402FR-0730K1L</t>
  </si>
  <si>
    <t>30.1KΩ ±1% 0.05W 0402 Thick Film Chip Resistor</t>
  </si>
  <si>
    <t>30K1</t>
  </si>
  <si>
    <t>RC0402FR-0725K5L</t>
  </si>
  <si>
    <t>25.5KΩ ±1% 0.05W 0402 Thick Film Chip Resistor</t>
  </si>
  <si>
    <t>25K5</t>
  </si>
  <si>
    <t>RC0402FR-0749K9L</t>
  </si>
  <si>
    <t>49.9KΩ ±1% 0.05W 0402 Thick Film Chip Resistor</t>
  </si>
  <si>
    <t>49K9</t>
  </si>
  <si>
    <t>RC0402FR-0712K4L</t>
  </si>
  <si>
    <t>12.4KΩ ±1% 0.05W 0402 Thick Film Chip Resistor</t>
  </si>
  <si>
    <t>12K4</t>
  </si>
  <si>
    <t>RC0402FR-0749R9L</t>
  </si>
  <si>
    <t>49.9Ω ±1% 0.063W 0402 Thick Film Chip Resistor</t>
  </si>
  <si>
    <t>49R9</t>
  </si>
  <si>
    <t>RC0402FR-071K1L</t>
  </si>
  <si>
    <t>1.1kΩ ±1% 0.063W 0402 Thick Film Chip Resistor</t>
  </si>
  <si>
    <t>1K1</t>
  </si>
  <si>
    <t>RC0402FR-0769R8L</t>
  </si>
  <si>
    <t>69.8Ω ±1% 0.063W 0402 Thick Film Chip Resistor</t>
  </si>
  <si>
    <t>69R8</t>
  </si>
  <si>
    <t>RC0402FR-07221RL</t>
  </si>
  <si>
    <t>221Ω ±1% 0.063W 0402 Thick Film Chip Resistor</t>
  </si>
  <si>
    <t>221R</t>
  </si>
  <si>
    <t>RC0402FR-0736KL</t>
  </si>
  <si>
    <t>36kΩ ±1% 0.063W 0402 Thick Film Chip Resistor</t>
  </si>
  <si>
    <t>36K</t>
  </si>
  <si>
    <t>RC0402FR-07196KL</t>
  </si>
  <si>
    <t>196kΩ ±1% 0.063W 0402 Thick Film Chip Resistor</t>
  </si>
  <si>
    <t>196K</t>
  </si>
  <si>
    <t>RC0201FR-0722RL</t>
  </si>
  <si>
    <t>22Ω ±1% 0.05W 0201 Thick Film Chip Resistor</t>
  </si>
  <si>
    <t>22R</t>
  </si>
  <si>
    <t>RC0201FR-0756RL</t>
  </si>
  <si>
    <t>56Ω ±1% 0.05W 0201 Thick Film Chip Resistor</t>
  </si>
  <si>
    <t>56R</t>
  </si>
  <si>
    <t>RC0201FR-0749R9L</t>
  </si>
  <si>
    <t>49.9Ω ±1% 0.05W 0201 Thick Film Chip Resistor</t>
  </si>
  <si>
    <t>RC0402FR-072K37L</t>
  </si>
  <si>
    <t>2.37kΩ ±1% 0.063W 0402 Thick Film Chip Resistor</t>
  </si>
  <si>
    <t>2K37</t>
  </si>
  <si>
    <t>RC0402FR-0711K8L</t>
  </si>
  <si>
    <t>11.8kΩ ±1% 0.063W 0402 Thick Film Chip Resistor</t>
  </si>
  <si>
    <t>11K8</t>
  </si>
  <si>
    <t>RC0402FR-073K74L</t>
  </si>
  <si>
    <t>3.74kΩ ±1% 0.063W 0402 Thick Film Chip Resistor</t>
  </si>
  <si>
    <t>3K74</t>
  </si>
  <si>
    <t>RC0402FR-073K01L</t>
  </si>
  <si>
    <t>3.01kΩ ±1% 0.063W 0402 Thick Film Chip Resistor</t>
  </si>
  <si>
    <t>3K01</t>
  </si>
  <si>
    <t>RC0402FR-07270KL</t>
  </si>
  <si>
    <t>270kΩ ±1% 0.063W 0402 Thick Film Chip Resistor</t>
  </si>
  <si>
    <t>270K</t>
  </si>
  <si>
    <t>RC0402FR-072K2L</t>
  </si>
  <si>
    <t>2.2kΩ ±1% 0.063W 0402 Thick Film Chip Resistor</t>
  </si>
  <si>
    <t>2K2</t>
  </si>
  <si>
    <t>RC0201FR-070RL</t>
  </si>
  <si>
    <t>0Ω ±1% 0.05W 0201 Thick Film Chip Resistor</t>
  </si>
  <si>
    <t>RC0402FR-0724K3L</t>
  </si>
  <si>
    <t>24.3kΩ ±1% 0.063W 0402 Thick Film Chip Resistor</t>
  </si>
  <si>
    <t>24K3</t>
  </si>
  <si>
    <t>RC0402FR-077K5L</t>
  </si>
  <si>
    <t>7.5kΩ ±1% 0.063W 0402 Thick Film Chip Resistor</t>
  </si>
  <si>
    <t>7K5</t>
  </si>
  <si>
    <t>RC0402FR-078K25L</t>
  </si>
  <si>
    <t>8.25kΩ ±1% 0.063W 0402 Thick Film Chip Resistor</t>
  </si>
  <si>
    <t>8K25</t>
  </si>
  <si>
    <t>RC0402FR-0760K4L</t>
  </si>
  <si>
    <t>60.4kΩ ±1% 0.063W 0402 Thick Film Chip Resistor</t>
  </si>
  <si>
    <t>60K4</t>
  </si>
  <si>
    <t>RC0201FR-0710KL</t>
  </si>
  <si>
    <t>10kΩ ±1% 0.063W 0201 Thick Film Chip Resistor</t>
  </si>
  <si>
    <t>RC0201FR-074K99L</t>
  </si>
  <si>
    <t>4.99kΩ ±1% 0.063W 0201 Thick Film Chip Resistor</t>
  </si>
  <si>
    <t>RC0201FR-0718K2L</t>
  </si>
  <si>
    <t>18.2kΩ ±1% 0.063W 0201 Thick Film Chip Resistor</t>
  </si>
  <si>
    <t>RC0201FR-072KL</t>
  </si>
  <si>
    <t>2kΩ ±1% 0.063W 0201 Thick Film Chip Resistor</t>
  </si>
  <si>
    <t>RC0201FR-0710K5L</t>
  </si>
  <si>
    <t>10.5kΩ ±1% 0.063W 0201 Thick Film Chip Resistor</t>
  </si>
  <si>
    <t>10K5</t>
  </si>
  <si>
    <t>RC0201FR-073K57L</t>
  </si>
  <si>
    <t>3.57kΩ ±1% 0.063W 0201 Thick Film Chip Resistor</t>
  </si>
  <si>
    <t>3K57</t>
  </si>
  <si>
    <t>RC0201FR-071K15L</t>
  </si>
  <si>
    <t>1.15kΩ ±1% 0.063W 0201 Thick Film Chip Resistor</t>
  </si>
  <si>
    <t>1K15</t>
  </si>
  <si>
    <t>RC0201FR-0733RL</t>
  </si>
  <si>
    <t>33Ω ±1% 0.05W 0201 Thick Film Chip Resistor</t>
  </si>
  <si>
    <t>RT0402BRD07301RL</t>
  </si>
  <si>
    <t>301Ω ±0.1% 0.063W 0402 Thick Film Chip Resistor</t>
  </si>
  <si>
    <t>301R</t>
  </si>
  <si>
    <t>±0.1%</t>
  </si>
  <si>
    <t>RT0402BRD07249RL</t>
  </si>
  <si>
    <t>249Ω ±0.1% 0.063W 0402 Thick Film Chip Resistor</t>
  </si>
  <si>
    <t>249R</t>
  </si>
  <si>
    <t>RT0402BRD0749R9L</t>
  </si>
  <si>
    <t>49.9Ω ±0.1% 0.063W 0402 Thick Film Chip Resistor</t>
  </si>
  <si>
    <t>RT0402BRD0725RL</t>
  </si>
  <si>
    <t>25Ω ±0.1% 0.063W 0402 Thick Film Chip Resistor</t>
  </si>
  <si>
    <t>25R</t>
  </si>
  <si>
    <t>RC0402FR-07270RL</t>
  </si>
  <si>
    <t>270Ω ±1% 0.063W 0402 Thick Film Chip Resistor</t>
  </si>
  <si>
    <t>270R</t>
  </si>
  <si>
    <t>RC0402FR-0747RL</t>
  </si>
  <si>
    <t>47Ω ±1% 0.063W 0402 Thick Film Chip Resistor</t>
  </si>
  <si>
    <t>47R</t>
  </si>
  <si>
    <t>RC0402FR-0745K3L</t>
  </si>
  <si>
    <t>45.3kΩ ±1% 0.063W 0402 Thick Film Chip Resistor</t>
  </si>
  <si>
    <t>45K3</t>
  </si>
  <si>
    <t>RC0402FR-074K7L</t>
  </si>
  <si>
    <t>4.7kΩ ±1% 0.063W 0402 Thick Film Chip Resistor</t>
  </si>
  <si>
    <t>4K7</t>
  </si>
  <si>
    <t>RT0402BRD0790K9L</t>
  </si>
  <si>
    <t>90.9Ω ±0.1% 0.063W 0402 Thick Film Chip Resistor</t>
  </si>
  <si>
    <t>90K9</t>
  </si>
  <si>
    <t>RC0805FR-0733RL</t>
  </si>
  <si>
    <t>33Ω ±1% 0.125W 0805 Thick Film Chip Resistor</t>
  </si>
  <si>
    <t>RC0402FR-073K92L</t>
  </si>
  <si>
    <t>3.92kΩ ±1% 0.063W 0402 Thick Film Chip Resistor</t>
  </si>
  <si>
    <t>3K92</t>
  </si>
  <si>
    <t>RC0402FR-079K53L</t>
  </si>
  <si>
    <t>9.53kΩ ±1% 0.063W 0402 Thick Film Chip Resistor</t>
  </si>
  <si>
    <t>9K53</t>
  </si>
  <si>
    <t>RC0402FR-075K11L</t>
  </si>
  <si>
    <t>5.11kΩ ±1% 0.063W 0402 Thick Film Chip Resistor</t>
  </si>
  <si>
    <t>5K11</t>
  </si>
  <si>
    <t>RC0402FR-078K45L</t>
  </si>
  <si>
    <t>8.45kΩ ±1% 0.063W 0402 Thick Film Chip Resistor</t>
  </si>
  <si>
    <t>8K45</t>
  </si>
  <si>
    <t>WSL1206R0500FTB</t>
  </si>
  <si>
    <t>Current Sense Resistors - SMD 1/4watt .05ohms 1%</t>
  </si>
  <si>
    <t>Vishay</t>
  </si>
  <si>
    <t>1206</t>
  </si>
  <si>
    <t>0R05</t>
  </si>
  <si>
    <t>Q_Factor_at_Freq</t>
  </si>
  <si>
    <t>0805LS-471XJEC</t>
  </si>
  <si>
    <t>470nH ±5% 720mA 310mΩ Unshielded Wirewound Inductor 0805</t>
  </si>
  <si>
    <t>Coilcraft</t>
  </si>
  <si>
    <t>470nH</t>
  </si>
  <si>
    <t>RF_Components</t>
  </si>
  <si>
    <t>15 @ 25.2 MHz</t>
  </si>
  <si>
    <t>./symbols/passive/ind.schlib</t>
  </si>
  <si>
    <t>IND</t>
  </si>
  <si>
    <t>./footprints/passive/ind.pcblib</t>
  </si>
  <si>
    <t>0805_RF</t>
  </si>
  <si>
    <t>0402FL-181XJRW</t>
  </si>
  <si>
    <t>180nH ±5% 690mA 200mΩ Unshielded Ferrite Core Chip Inductor 0402</t>
  </si>
  <si>
    <t>180nH</t>
  </si>
  <si>
    <t>18 @ 25.2 MHz</t>
  </si>
  <si>
    <t>0402_FL</t>
  </si>
  <si>
    <t>0402FL-360XJRW</t>
  </si>
  <si>
    <t>36nH ±5% 690mA 200mΩ Unshielded Ferrite Core Chip Inductor 0402</t>
  </si>
  <si>
    <t>36nH</t>
  </si>
  <si>
    <t>16 @ 250 MHz</t>
  </si>
  <si>
    <t>0402FL-200XJRW</t>
  </si>
  <si>
    <t>20nH ±5% 690mA 200mΩ Unshielded Ferrite Core Chip Inductor 0402</t>
  </si>
  <si>
    <t>20nH</t>
  </si>
  <si>
    <t>LQW18AN10NG00</t>
  </si>
  <si>
    <t>10nH ±2% 650mA 110mΩ  Cerramic  Core Chip Inductor 0603</t>
  </si>
  <si>
    <t>Murata Manufacturing</t>
  </si>
  <si>
    <t>10nH</t>
  </si>
  <si>
    <t>35 @ 100 MHz</t>
  </si>
  <si>
    <t>0603_LQW</t>
  </si>
  <si>
    <t>0402CS-39NXGLW</t>
  </si>
  <si>
    <t>39nH ±5% 690mA 550mΩ Cerramic Core Chip Inductor 0402</t>
  </si>
  <si>
    <t>39nH</t>
  </si>
  <si>
    <t>45 @ 1700 MHz</t>
  </si>
  <si>
    <t>0402_CS</t>
  </si>
  <si>
    <t>LQW18AN18NG00D</t>
  </si>
  <si>
    <t>18nH ±2% 650mA 110mΩ  Cerramic  Core Chip Inductor 0603</t>
  </si>
  <si>
    <t>18nH</t>
  </si>
  <si>
    <t>40 @ 250MHz</t>
  </si>
  <si>
    <t>LQW15AN18NG00D</t>
  </si>
  <si>
    <t>18nH ±2% 370 mA 270mOhm Unshielded Drum Core Wirewound Inductor 0402</t>
  </si>
  <si>
    <t>25 @ 250MHz</t>
  </si>
  <si>
    <t>0402_LQW</t>
  </si>
  <si>
    <t>0805CS-030XJRC</t>
  </si>
  <si>
    <t>3.3nH ±5% 600mA 80mΩ  Unshielded Wirewound Inductor 0805</t>
  </si>
  <si>
    <t>3.3nH</t>
  </si>
  <si>
    <t>50 @ 1.5GHz</t>
  </si>
  <si>
    <t>0805_CS</t>
  </si>
  <si>
    <t>LQP03HQ1N5C02D</t>
  </si>
  <si>
    <t>1.5nH ±0.2nH 1A 50mOhm Unshielded Thick Film Inductor 0201</t>
  </si>
  <si>
    <t>1.5nH</t>
  </si>
  <si>
    <t>20 @ 500MHz</t>
  </si>
  <si>
    <t>0201_LQP</t>
  </si>
  <si>
    <t>LQP03TN0N7C02J</t>
  </si>
  <si>
    <t>0.7nH ±0.2nH 0.8A 80mOhm Unshielded Thick Film Inductor 0201</t>
  </si>
  <si>
    <t>0.7nH</t>
  </si>
  <si>
    <t>14 @ 500MHz</t>
  </si>
  <si>
    <t>LQW15AN43NJ00D</t>
  </si>
  <si>
    <t>43 nH Unshielded Wirewound Inductor 250 mA 700mOhm Max 0402 (1005 Metric)</t>
  </si>
  <si>
    <t>43nH</t>
  </si>
  <si>
    <t>LQW15AWR18G80D</t>
  </si>
  <si>
    <t>180 nH Unshielded Wirewound Inductor 260 mA 2.2Ohm Max 0402 (1005 Metric)</t>
  </si>
  <si>
    <t>33 @ 250MHz</t>
  </si>
  <si>
    <t>LQW15AN62NJ00D</t>
  </si>
  <si>
    <t>62 nH Unshielded Wirewound Inductor 145 mA 1.82Ohm Max 0402 (1005 Metric)</t>
  </si>
  <si>
    <t>62nH</t>
  </si>
  <si>
    <t>20 @ 200MHz</t>
  </si>
  <si>
    <t>LQW15CNR20J0ZD</t>
  </si>
  <si>
    <t>200 nH Unshielded Wirewound Inductor 390 mA 470mOhm Max 0402 (1005 Metric)</t>
  </si>
  <si>
    <t>74477020</t>
  </si>
  <si>
    <t>100µH ±20% 2.2A 220mΩ Shielded SMD Power Inductor</t>
  </si>
  <si>
    <t>Würth Elektronik</t>
  </si>
  <si>
    <t>1280</t>
  </si>
  <si>
    <t>100uH</t>
  </si>
  <si>
    <t>WE-PD_1280</t>
  </si>
  <si>
    <t>IHLP2525CZER100M5A</t>
  </si>
  <si>
    <t>10µH ±20% 4A 76.9mΩ Shielded SMD Inductor</t>
  </si>
  <si>
    <t>Vishay Dale</t>
  </si>
  <si>
    <t>2525</t>
  </si>
  <si>
    <t>10uH</t>
  </si>
  <si>
    <t>L2525</t>
  </si>
  <si>
    <t>PA5001.102NLT</t>
  </si>
  <si>
    <t>Power Inductors - SMD 1.0uH 20% AEC-Q200 16.8A DCR=4.6mOhm</t>
  </si>
  <si>
    <t>Pulse Electronics</t>
  </si>
  <si>
    <t>4.3x4.3</t>
  </si>
  <si>
    <t>1uH</t>
  </si>
  <si>
    <t>0618CDMCCDS-1R5MC</t>
  </si>
  <si>
    <t>FIXED IND 1.5UH 7A 24 MOHM SMD</t>
  </si>
  <si>
    <t>Sumida America Components Inc.</t>
  </si>
  <si>
    <t>7.0x6.6</t>
  </si>
  <si>
    <t>1.5uH</t>
  </si>
  <si>
    <t>744314047</t>
  </si>
  <si>
    <t>Power Inductors - SMD WE-HCI 470nH 18A DCR=1.35mOhms AEC-Q200</t>
  </si>
  <si>
    <t>7050</t>
  </si>
  <si>
    <t>470 nH</t>
  </si>
  <si>
    <t>XAL7020</t>
  </si>
  <si>
    <t>BLM15GG471SN1D</t>
  </si>
  <si>
    <t>470Ω ±25% 200mA 0402 Ferrite Bead for High-Frequency Noise Suppression</t>
  </si>
  <si>
    <t>Ferrite</t>
  </si>
  <si>
    <t>BLM0402</t>
  </si>
  <si>
    <t>BLM18PG471SN1D</t>
  </si>
  <si>
    <t>470Ω @ 100MHz 1A 200mΩ Power Line Ferrite Bead 0603</t>
  </si>
  <si>
    <t>BLM0603</t>
  </si>
  <si>
    <t>BLM15PD121SN1D</t>
  </si>
  <si>
    <t>120 Ohms @ 100 MHz 1 Power Line Ferrite Bead 0402 1.3A 90mOhm</t>
  </si>
  <si>
    <t>Power Inductors - SMD WE-XHMI 1.5 uH 10.60 A 12.9 mOhms 4030</t>
  </si>
  <si>
    <t>1.5 uH</t>
  </si>
  <si>
    <t>L4030</t>
  </si>
  <si>
    <t>IHLP2525CZER2R2M01</t>
  </si>
  <si>
    <t>2.2µH ±20% 8A 20mΩ Shielded SMD Inductor</t>
  </si>
  <si>
    <t>2.2uH</t>
  </si>
  <si>
    <t>IHLP2525CZER4R7M01</t>
  </si>
  <si>
    <t>4.7µH ±20% 5.5A 40mΩ Shielded SMD Inductor</t>
  </si>
  <si>
    <t>4.7uH</t>
  </si>
  <si>
    <t>IHLP2525CZER1R0M01</t>
  </si>
  <si>
    <t>1.0µH ±20% 11A 10mΩ Shielded SMD Inductor</t>
  </si>
  <si>
    <t>1.0uH</t>
  </si>
  <si>
    <t>600 Ohms @ 100 MHz 1 Signal Line Ferrite Bead 0805 (2012 Metric) 2A 150mOhm</t>
  </si>
  <si>
    <t>600Ω</t>
  </si>
  <si>
    <t>BNX025H01L</t>
  </si>
  <si>
    <t>EMI suppression filter supporting large current, wide frequency.</t>
  </si>
  <si>
    <t>./symbols/passive/emi_filters.schlib</t>
  </si>
  <si>
    <t>BNX02xH01L</t>
  </si>
  <si>
    <t>NFM41PC155B1E3</t>
  </si>
  <si>
    <t>Large Current 3 Terminals Low ESL Chip Multilayer Ceramic Capacitors (EMI Filter) for General Purpose</t>
  </si>
  <si>
    <t>NFM41PC</t>
  </si>
  <si>
    <t>AVA-183A+</t>
  </si>
  <si>
    <t>a InGaAs E-PHEMT* based wideband, positive gain slope MMIC amplifier</t>
  </si>
  <si>
    <t>Mini-Circuits</t>
  </si>
  <si>
    <t>DQ849</t>
  </si>
  <si>
    <t>Amplifier</t>
  </si>
  <si>
    <t>./symbols/IC/RF/Amplifier.Schlib</t>
  </si>
  <si>
    <t>AVA-183P+</t>
  </si>
  <si>
    <t>DQ1225</t>
  </si>
  <si>
    <t>AVA-6183MPS+</t>
  </si>
  <si>
    <t>Medium Power pHEMT Amplifier, 6 - 18 GHz, 50Ω, 5x5 mm QFN Style Package</t>
  </si>
  <si>
    <t>DG1677-8</t>
  </si>
  <si>
    <t>CWDT8005</t>
  </si>
  <si>
    <t>GaN HEMT 10 Watt PA; DC-8.0 GHz; Gain 15 dB</t>
  </si>
  <si>
    <t>Chengdu Cuiwei Electronic Co</t>
  </si>
  <si>
    <t>DFN-6</t>
  </si>
  <si>
    <t>./symbols/IC/RF/Amplifier.SchLib</t>
  </si>
  <si>
    <t>DFN6-4x4.5</t>
  </si>
  <si>
    <t>CWNPA-2735-P40-M</t>
  </si>
  <si>
    <t>The GaN MMIC high-power amplifier device, fabricated by GaN power MMIC technology, the operation frequency range is 2.7GHz to 3.5GHz, typical power gain is 22.5dB, the saturated output power is 10Watt,</t>
  </si>
  <si>
    <t>ICValley</t>
  </si>
  <si>
    <t>CWNPA_2735_P40_M</t>
  </si>
  <si>
    <t>CWS13101</t>
  </si>
  <si>
    <t>2 ~ 5GHz receiving differential-single-ended amplifier</t>
  </si>
  <si>
    <t>CW</t>
  </si>
  <si>
    <t>QFN-12</t>
  </si>
  <si>
    <t>QFN12-2x2</t>
  </si>
  <si>
    <t>CWS13102</t>
  </si>
  <si>
    <t>2 ~ 5GHz transmitting differential-single-ended amplifier</t>
  </si>
  <si>
    <t>GVA-93+</t>
  </si>
  <si>
    <t>0.05-8 GHz AMP, 16 dB Gain</t>
  </si>
  <si>
    <t>DF782</t>
  </si>
  <si>
    <t>SOT-89</t>
  </si>
  <si>
    <t>HMC451LP3</t>
  </si>
  <si>
    <t>GaAs PHEMT MMIC MEDIUM POWER AMPLIFIER, 5 - 18 GHz</t>
  </si>
  <si>
    <t>IPA-0206B-CQ5B</t>
  </si>
  <si>
    <t>GaAs MMIC 1.2 Watt PA; 2-6 GHz; Gain 30 dB</t>
  </si>
  <si>
    <t>IC VALLEY Microelectronics</t>
  </si>
  <si>
    <t>QFN-32</t>
  </si>
  <si>
    <t>QFN32-5x5</t>
  </si>
  <si>
    <t>LHA-1+</t>
  </si>
  <si>
    <t>IC RF AMP CATV 50MHZ-6GHZ FG873</t>
  </si>
  <si>
    <t>FG873</t>
  </si>
  <si>
    <t>PMA2-183LN+</t>
  </si>
  <si>
    <t>Low Noise, Linear Amplifier, 4000 MHz to 18 GHz, 50Ω</t>
  </si>
  <si>
    <t>MC1631-1</t>
  </si>
  <si>
    <t>PMA3-83LN+</t>
  </si>
  <si>
    <t>Amplifier 50Ω, 0.5 to 8.0 GHz, 21 dB Gain</t>
  </si>
  <si>
    <t>QPA1008</t>
  </si>
  <si>
    <t>S-band two stage variable gain driver amplifier in a 5x5 mm QFN. The QPA1008 operates from 2.7 to 3.8 GHz and provides 31dBm of P1dB output power with 26 dB of large signal gain and greater than 30% PAE</t>
  </si>
  <si>
    <t>QFN28-5X5</t>
  </si>
  <si>
    <t>TQL9092</t>
  </si>
  <si>
    <t>Ultra Low Noise, Flat Gain Low Noise Amplifier</t>
  </si>
  <si>
    <t>DFN-EP-8</t>
  </si>
  <si>
    <t>TSY-173LN+</t>
  </si>
  <si>
    <t>Low noise MMIC Amplifier with shutdown feature</t>
  </si>
  <si>
    <t>MC1630-1</t>
  </si>
  <si>
    <t>MC1630</t>
  </si>
  <si>
    <t>TSY-83LN+</t>
  </si>
  <si>
    <t>Mini-Circuits’ TSY-83LN+ is a GaAs pHEMT based wide band, bypass mode capable, low noise MMIC amplifier with a combination of high IP3 and flat gain</t>
  </si>
  <si>
    <t>QFN12-3.2x3.2</t>
  </si>
  <si>
    <t>MNA-4A+</t>
  </si>
  <si>
    <t>SMT MMIC, Medium Power, Linear, pHEMT Amplifier, 500 MHz to 2500 MHz, 50Ω, 3x3 mm QFN Style Package</t>
  </si>
  <si>
    <t>PVGA-123+</t>
  </si>
  <si>
    <t>SMT MMIC, Medium Power, Linear, Variable Gain, HBT Amplifier, 400 MHz to 12 GHz, 50Ω, 3x3 mm QFN Style Package</t>
  </si>
  <si>
    <t>PMA3-5123+</t>
  </si>
  <si>
    <t>SMT Low Noise Amplifier, 5.5 - 12.5 GHz, 50Ω</t>
  </si>
  <si>
    <t>DQ3005</t>
  </si>
  <si>
    <t>PSA-14+</t>
  </si>
  <si>
    <t>SMT MMIC, Linear, Gain Block, HBT, Low Phase Noise Amplifier, 10 MHz to 10 GHz, 50Ω, SOT-343 Style Package</t>
  </si>
  <si>
    <t>MMM1362</t>
  </si>
  <si>
    <t>ADPA1120</t>
  </si>
  <si>
    <t>4.5W (36.5dBm), 8GHz to 12GHz, GaN Power Amplifier</t>
  </si>
  <si>
    <t>LFCSP-32</t>
  </si>
  <si>
    <t>YAT-0A+</t>
  </si>
  <si>
    <t>Fixed value, absorptive MMIC attenuator</t>
  </si>
  <si>
    <t>Attenuator</t>
  </si>
  <si>
    <t>./symbols/IC/RF/Attenuator.Schlib</t>
  </si>
  <si>
    <t>YAT-XA+</t>
  </si>
  <si>
    <t>YAT-10A+</t>
  </si>
  <si>
    <t>YAT-3A+</t>
  </si>
  <si>
    <t>YAT-6A+</t>
  </si>
  <si>
    <t>YAT-30A+</t>
  </si>
  <si>
    <t>TRHJ-2041</t>
  </si>
  <si>
    <t>8-channel transmit beamforming phased array silica-based (CMOS) chip operating from 13.7GHz to 14.5GHz.</t>
  </si>
  <si>
    <t>XPHASED</t>
  </si>
  <si>
    <t>WLCSP-84</t>
  </si>
  <si>
    <t>Beamformer</t>
  </si>
  <si>
    <t>./symbols/IC/RF/Beamformer.Schlib</t>
  </si>
  <si>
    <t>TRHJ-4061</t>
  </si>
  <si>
    <t>Millimeter-wave silicon-based 
(CMOS) chip with integrated 4 Tx &amp; Rx channels, 
operating frequency ranging from 32GHz to 37GHz, 
which is mainly used in phased array radar system</t>
  </si>
  <si>
    <t>WLCSP-72</t>
  </si>
  <si>
    <t>3.35 GHz Band Pass Filter</t>
  </si>
  <si>
    <t>Johanson Technology</t>
  </si>
  <si>
    <t>Filter</t>
  </si>
  <si>
    <t>./symbols/IC/RF/Filter.Schlib</t>
  </si>
  <si>
    <t>3350BP39A0500</t>
  </si>
  <si>
    <t>BFCN-3700+</t>
  </si>
  <si>
    <t>LTCC Band Pass Filter, 3000 - 4600 MHz, 50Ω</t>
  </si>
  <si>
    <t>FV1206-4</t>
  </si>
  <si>
    <t>LPF_4</t>
  </si>
  <si>
    <t>BFCW-542+</t>
  </si>
  <si>
    <t>Wide passband, 4700-6000 MHz</t>
  </si>
  <si>
    <t>JC0603C-1</t>
  </si>
  <si>
    <t>BFHKI-9901+</t>
  </si>
  <si>
    <t>LTCC SMT Band Pass Filter, 8.6 - 10.9 GHz, 50Ω</t>
  </si>
  <si>
    <t>NM3237</t>
  </si>
  <si>
    <t>BPF_3</t>
  </si>
  <si>
    <t>HFCN-7150+</t>
  </si>
  <si>
    <t>LTCC High Pass Filter, 7900 - 11000 MHz</t>
  </si>
  <si>
    <t>FV1206-1</t>
  </si>
  <si>
    <t>HPF_6</t>
  </si>
  <si>
    <t>HFCW-1132+</t>
  </si>
  <si>
    <t>LTCC High Pass Filter, 13000 - 20000 MHz</t>
  </si>
  <si>
    <t>JC0603C</t>
  </si>
  <si>
    <t>HFCW-9500+</t>
  </si>
  <si>
    <t>LTCC High Pass Filter, 10500 - 20000 MHz</t>
  </si>
  <si>
    <t>LFCG-2000+</t>
  </si>
  <si>
    <t>LTCC low pass filter with a passband from DC to 2000 MHz</t>
  </si>
  <si>
    <t>GE0805C-2</t>
  </si>
  <si>
    <t>LPF_8</t>
  </si>
  <si>
    <t>LFCN-1500D+</t>
  </si>
  <si>
    <t>FV1206</t>
  </si>
  <si>
    <t>LFCN-5500D+</t>
  </si>
  <si>
    <t>LTCC Low Pass Filter, DC - 5500 MHz, 50Ω</t>
  </si>
  <si>
    <t>an LTCC low pass filter with a passband from DC to 8.7 GHz</t>
  </si>
  <si>
    <t>LFCN-3000+</t>
  </si>
  <si>
    <t>LTCC Low Pass Filter, DC - 3000 MHz, 50Ω</t>
  </si>
  <si>
    <t>HFCN-2700AD+</t>
  </si>
  <si>
    <t>LTCC High Pass Filter, 2900 - 8700 MHz</t>
  </si>
  <si>
    <t>XLF-662M+</t>
  </si>
  <si>
    <t>Reflectionless Low Pass Filter, DC - 6000 MHz, 50Ω</t>
  </si>
  <si>
    <t>LPF_12</t>
  </si>
  <si>
    <t>XHF-63M+</t>
  </si>
  <si>
    <t>Reflectionless High Pass Filter, 5900 - 19000 MHz, 50Ω</t>
  </si>
  <si>
    <t>HPF_12</t>
  </si>
  <si>
    <t>XHF-73M+</t>
  </si>
  <si>
    <t>Reflectionless High Pass Filter, 7000 - 16400 MHz</t>
  </si>
  <si>
    <t>XLF-132H+</t>
  </si>
  <si>
    <t>Reflectionless Low Pass Filter, DC - 1300 MHz, 50Ω</t>
  </si>
  <si>
    <t>DG1847</t>
  </si>
  <si>
    <t>LPF_24</t>
  </si>
  <si>
    <t>TA0332A</t>
  </si>
  <si>
    <t>SAW Filter 1350MHz SMD 3.0×3.0mm</t>
  </si>
  <si>
    <t>TAI-SAW TECHNOLOGY</t>
  </si>
  <si>
    <t>SMD_6</t>
  </si>
  <si>
    <t>BFHKI-8501+</t>
  </si>
  <si>
    <t>LTCC SMT Band Pass Filter, 7.5 - 8.8 GHz, 50Ω</t>
  </si>
  <si>
    <t>B070MB6S</t>
  </si>
  <si>
    <t>7.10GHz Surface Mount Bandpass Filter</t>
  </si>
  <si>
    <t>Knowles</t>
  </si>
  <si>
    <t>12.7*5.08</t>
  </si>
  <si>
    <t>ADMV1013ACCZ</t>
  </si>
  <si>
    <t>The ADMV1013 is a wideband, microwave upconverter optimized for point to point microwave radio designs operating in the 24 GHz to 44 GHz radio frequency (RF) range.</t>
  </si>
  <si>
    <t>LGA-40</t>
  </si>
  <si>
    <t>Mixer</t>
  </si>
  <si>
    <t>./symbols/IC/RF/Mixer.Schlib</t>
  </si>
  <si>
    <t>ADMV1013</t>
  </si>
  <si>
    <t>CC-40-5</t>
  </si>
  <si>
    <t>ADMV1014ACCZ</t>
  </si>
  <si>
    <t>The ADMV1014 is a silicon germanium (SiGe), wideband, microwave downconverter optimized for point to point microwave radio designs operating in the 24 GHz to 44 GHz frequency range</t>
  </si>
  <si>
    <t>LGA-32</t>
  </si>
  <si>
    <t>ADMV1014</t>
  </si>
  <si>
    <t>CC-32-6</t>
  </si>
  <si>
    <t>LTC5548</t>
  </si>
  <si>
    <t>2GHz to 14GHz Microwave Mixer with Wideband DC–6GHz IF</t>
  </si>
  <si>
    <t>QFN12-3.5x2.5</t>
  </si>
  <si>
    <t>LTC5553</t>
  </si>
  <si>
    <t>2GHz to 20GHz Microwave Mixer with Wideband DC–6GHz IF</t>
  </si>
  <si>
    <t>SMIQ-6243H+</t>
  </si>
  <si>
    <t>+ is a passive, wideband in phase/quadrature (I/Q) mixer fabricated using GaAs HBT technology</t>
  </si>
  <si>
    <t>LTC5552</t>
  </si>
  <si>
    <t>2GHz to 20GHz Microwave Mixer with Wideband DC–6GHz Diff-IF</t>
  </si>
  <si>
    <t>LTC5549</t>
  </si>
  <si>
    <t>2GHz to 14GHz Microwave Mixer with Wideband DC–6GHz Diff-IF</t>
  </si>
  <si>
    <t>4400BL15A0100E</t>
  </si>
  <si>
    <t>High-frequency 4.4 GHz LTCC RF balun ideal for compact RF designs</t>
  </si>
  <si>
    <t>Other</t>
  </si>
  <si>
    <t>./symbols/IC/RF/Other.Schlib</t>
  </si>
  <si>
    <t>D17W+</t>
  </si>
  <si>
    <t>16-26 dB SMT Directional Coupler, 700 - 3500 MHz, 50Ω</t>
  </si>
  <si>
    <t>CA531</t>
  </si>
  <si>
    <t>EP2C+</t>
  </si>
  <si>
    <t>MMIC splitter/combiner designed for wideband operation from 1800 to 12500 MHz</t>
  </si>
  <si>
    <t>EP2K+</t>
  </si>
  <si>
    <t>2 Ways MMIC DC Pass Power Splitter, 5000 - 20000 MHz, 50Ω</t>
  </si>
  <si>
    <t>EP2KA+</t>
  </si>
  <si>
    <t>Power Splitter/Combiner</t>
  </si>
  <si>
    <t>JV259-1</t>
  </si>
  <si>
    <t>EP2RCW+</t>
  </si>
  <si>
    <t>a MMIC 2-way 0° splitter/combiner designed for wideband operation from DC to 8.0 GHz</t>
  </si>
  <si>
    <t>DG1677-2</t>
  </si>
  <si>
    <t>EP4RKU+</t>
  </si>
  <si>
    <t>4 Ways MMIC Power Splitter, DC - 18000 MHz, 50Ω</t>
  </si>
  <si>
    <t>PQFN127P600-8N</t>
  </si>
  <si>
    <t>QCN-45+</t>
  </si>
  <si>
    <t>90-Hybrid Mini-Circuit</t>
  </si>
  <si>
    <t>QCS-83+</t>
  </si>
  <si>
    <t>GE0805C-1</t>
  </si>
  <si>
    <t>FPC06073</t>
  </si>
  <si>
    <t>4 to 8GHz 10dB Directional Coupler</t>
  </si>
  <si>
    <t>4.3 x 2.0</t>
  </si>
  <si>
    <t>ADL5519</t>
  </si>
  <si>
    <t>1 MHz TO 10 GHz, 62 dB Dual Log Detector / Controller</t>
  </si>
  <si>
    <t>CWS23902</t>
  </si>
  <si>
    <t>2.3- 5 GHz Dual-Channel Switch LNA Module</t>
  </si>
  <si>
    <t>QFN-40</t>
  </si>
  <si>
    <t>RF_SoC</t>
  </si>
  <si>
    <t>./symbols/IC/RF/RF_SoC.SchLib</t>
  </si>
  <si>
    <t>QFN40-6x6</t>
  </si>
  <si>
    <t>ADRF5024BCCZN</t>
  </si>
  <si>
    <t>The ADRF5024 is a reflective, single-pole double-throw. Operates from 100 MHz to 44 GHz</t>
  </si>
  <si>
    <t>LGA-12</t>
  </si>
  <si>
    <t>Switch</t>
  </si>
  <si>
    <t>./symbols/IC/RF/Switch.Schlib</t>
  </si>
  <si>
    <t>ADRF5024</t>
  </si>
  <si>
    <t>CC-12-3</t>
  </si>
  <si>
    <t>ADRF5238</t>
  </si>
  <si>
    <t>High Isolation, Silicon SPDT, Nonreflective Switch, 0.1GHz to 13GHz</t>
  </si>
  <si>
    <t>LFCSP_RT-12</t>
  </si>
  <si>
    <t>CR-12-1</t>
  </si>
  <si>
    <t>HMC544A</t>
  </si>
  <si>
    <t>GaAs MMIC T/R Switch, DC - 4 GHz</t>
  </si>
  <si>
    <t>SOT26</t>
  </si>
  <si>
    <t>RJ_6_ADI-L</t>
  </si>
  <si>
    <t>SKY13575-639LF</t>
  </si>
  <si>
    <t>SP4T 0.1-6 GHz</t>
  </si>
  <si>
    <t>SKYWORKS</t>
  </si>
  <si>
    <t>QFN-14</t>
  </si>
  <si>
    <t>ADRF5019BCPZN</t>
  </si>
  <si>
    <t>Silicon, SPDT Switch, Nonreflective, 100 MHz to 13 GHz</t>
  </si>
  <si>
    <t>CP-16-38</t>
  </si>
  <si>
    <t>ADRF5019</t>
  </si>
  <si>
    <t>HMC1118LP3DE</t>
  </si>
  <si>
    <t>ADF5356BCPZ</t>
  </si>
  <si>
    <t>Microwave Wideband Synthesizer with Integrated VCO</t>
  </si>
  <si>
    <t>Synth</t>
  </si>
  <si>
    <t>./symbols/IC/RF/Synth.Schlib</t>
  </si>
  <si>
    <t>ADF5356</t>
  </si>
  <si>
    <t>LMX2594RHA</t>
  </si>
  <si>
    <t>high-performance, wideband synthesizer that can generate any frequency from 10 MHz to 15 GHz</t>
  </si>
  <si>
    <t>VQFN-40</t>
  </si>
  <si>
    <t>VQFN40-6x6</t>
  </si>
  <si>
    <t>ADRV9025BBCZ</t>
  </si>
  <si>
    <t>Integrated, Quad RF Transceiver with Observation Path</t>
  </si>
  <si>
    <t>BC-289-6</t>
  </si>
  <si>
    <t>Transciever</t>
  </si>
  <si>
    <t>./symbols/IC/RF/Transciever.Schlib</t>
  </si>
  <si>
    <t>ADRV902x</t>
  </si>
  <si>
    <t>BGA289C80P17X17</t>
  </si>
  <si>
    <t>ADRV9026BBCZ</t>
  </si>
  <si>
    <t>ФП3П7-814-77</t>
  </si>
  <si>
    <t>Фильтр пьезоэлектрический, номинальная частота 1030 МГц, полоса пропускания 8,6 МГц</t>
  </si>
  <si>
    <t>БУТИС</t>
  </si>
  <si>
    <t>SMD-6</t>
  </si>
  <si>
    <t>FREQ</t>
  </si>
  <si>
    <t>142-0761-801</t>
  </si>
  <si>
    <t>RF Connectors / Coaxial Connectors SMA JACK SMT 50OHM</t>
  </si>
  <si>
    <t>Cinch Connectivity Solutions</t>
  </si>
  <si>
    <t>RF / Coaxial Connectors</t>
  </si>
  <si>
    <t>18 GHz</t>
  </si>
  <si>
    <t>./symbols/connectors/connectors.schlib</t>
  </si>
  <si>
    <t>RF_Connector</t>
  </si>
  <si>
    <t>./footprints/Connectors/connectors.PcbLib</t>
  </si>
  <si>
    <t>53398-0471</t>
  </si>
  <si>
    <t>1.25mm Pitch PicoBlade PCB Header, Single Row, Vertical, Surface Mount, Tin Plating, 4 Circuits</t>
  </si>
  <si>
    <t>Molex</t>
  </si>
  <si>
    <t>Wire-to-Board &amp; Pin Headers</t>
  </si>
  <si>
    <t>MOLEX_53398-0471</t>
  </si>
  <si>
    <t>87832-1420</t>
  </si>
  <si>
    <t>Connector Header Surface Mount 14 position 0.079 _2.00mm_</t>
  </si>
  <si>
    <t>MOLEX_87832-1420</t>
  </si>
  <si>
    <t>85305-0232</t>
  </si>
  <si>
    <t>50 Ohms, SMP Surface Mount Plug</t>
  </si>
  <si>
    <t>26.5 GHz</t>
  </si>
  <si>
    <t>MOLEX_85305-0232</t>
  </si>
  <si>
    <t>SMA-KYHDC</t>
  </si>
  <si>
    <t>50 Ohms, SMA Surface Mount Plug</t>
  </si>
  <si>
    <t>Амитрон</t>
  </si>
  <si>
    <t>TB006-508-02BE</t>
  </si>
  <si>
    <t>2 Position Wire to Board Terminal Block Horizontal with Board 0.200" (5.08mm) Through Hole</t>
  </si>
  <si>
    <t>Same Sky</t>
  </si>
  <si>
    <t>Power &amp; Terminal Blocks</t>
  </si>
  <si>
    <t>CUI_TB006 -508-02BE</t>
  </si>
  <si>
    <t>S2B-ZR-SM4A-TF</t>
  </si>
  <si>
    <t>s very small with a mounting height of 5.6 mm and a thickness of only 3.5 mm</t>
  </si>
  <si>
    <t>ZH CONNECTOR</t>
  </si>
  <si>
    <t>Headers &amp; Wire Housings</t>
  </si>
  <si>
    <t>JST_S2B-ZR-SM4A-TF</t>
  </si>
  <si>
    <t>SOLC-120-02-F-Q-A-K-TR</t>
  </si>
  <si>
    <t>Board to Board &amp; Mezzanine Connectors .050" FOURRAY(TM) Quad Row Tiger Buy(TM) Socket Strip</t>
  </si>
  <si>
    <t>Samtec</t>
  </si>
  <si>
    <t>Board-to-Board / Mezzanine / Edge</t>
  </si>
  <si>
    <t>SMP-MSLD-PCT-6</t>
  </si>
  <si>
    <t>SMP Right Angle PCB Limited Detent Jack Through Hole 50 Ohm</t>
  </si>
  <si>
    <t>Amphenol</t>
  </si>
  <si>
    <t>12 GHz</t>
  </si>
  <si>
    <t>SMP-MSSB-PCS</t>
  </si>
  <si>
    <t>SMP Straight PCB Limited Detent Jack End Launch 50 Ohm</t>
  </si>
  <si>
    <t>47352-1001</t>
  </si>
  <si>
    <t>1.10mm Pitch microSD Card Connector, Push-Push Type, with VSS (Supply Voltage Ground) Detect Switch, Lead-Free</t>
  </si>
  <si>
    <t>I/O &amp; Memory Interfaces</t>
  </si>
  <si>
    <t>PJ-002B</t>
  </si>
  <si>
    <t>24 VDC 2.5 A Right Angle Through Hole 2 Conductors 3 Contacts Male Power Jack</t>
  </si>
  <si>
    <t>CUI Inc</t>
  </si>
  <si>
    <t>ZX62R-B-5P</t>
  </si>
  <si>
    <t>USB 2.0-MICRO B, ZX62R-B-5P, SMD,Right Angle</t>
  </si>
  <si>
    <t>Hirose Electric</t>
  </si>
  <si>
    <t>ADM6-60-01.5-L-4-2-A-TR_1</t>
  </si>
  <si>
    <t>240 Position Connector High Density Array, Male Surface Mount Gold</t>
  </si>
  <si>
    <t>Samtec Inc.</t>
  </si>
  <si>
    <t>SOM240_1</t>
  </si>
  <si>
    <t>ADM6-60-01.5-L-4-2-A-TR</t>
  </si>
  <si>
    <t>ADM6-60-01.5-L-4-2-A-TR_2</t>
  </si>
  <si>
    <t>SOM240_2</t>
  </si>
  <si>
    <t>J0G-0001NL</t>
  </si>
  <si>
    <t>1 Port RJ45 Through Hole 10/100/1000 Base-T, AutoMDIX</t>
  </si>
  <si>
    <t>20021321-00050T4LF</t>
  </si>
  <si>
    <t>50 Position Receptacle Connector 0.050" (1.27mm) Surface Mount Gold</t>
  </si>
  <si>
    <t>Amphenol ICC (FCI)</t>
  </si>
  <si>
    <t>2199119-2</t>
  </si>
  <si>
    <t>PCI Express / PCI-connectoren M.2 0.5PITCH 4.2H KEY E GOLDFLASH</t>
  </si>
  <si>
    <t>TE Connectivity</t>
  </si>
  <si>
    <t>15EDGRC-3.81-06P-14-00A(H)</t>
  </si>
  <si>
    <t>pluggable terminal block; socket; male; 7A; 250V; PIN: 6</t>
  </si>
  <si>
    <t>DEGSON ELECTRONICS</t>
  </si>
  <si>
    <t>15EDGRC-06P</t>
  </si>
  <si>
    <t>61202021621</t>
  </si>
  <si>
    <t>Connector Header Through Hole 20 position 0.100" (2.54mm)</t>
  </si>
  <si>
    <t>G14A421211112HR</t>
  </si>
  <si>
    <t>42 Position SAS/PCIe Receptacle Connector Solder Surface Mount, Right Angle</t>
  </si>
  <si>
    <t>G14A42221612AHR</t>
  </si>
  <si>
    <t>OCULINK RECEPTACLE Vertical SMT shell leg DIP length 2.9mm with hold down tape and reel package</t>
  </si>
  <si>
    <t>1586037-4</t>
  </si>
  <si>
    <t>Headers &amp; Wire Housings VERT HDR NO PEGS 4P</t>
  </si>
  <si>
    <t>TE Connectivity / AMP</t>
  </si>
  <si>
    <t>81_SMP-S50-0-L1/111_N</t>
  </si>
  <si>
    <t>COAXIAL CONNECTOR, SMP, 50 Ohm, Straight PCB plug (male), Surface Mount, Limited Detent</t>
  </si>
  <si>
    <t>HUBER+SUHNER</t>
  </si>
  <si>
    <t>40 GHz</t>
  </si>
  <si>
    <t>S04B-PASK-2</t>
  </si>
  <si>
    <t>Connector Header Through Hole, Right Angle 4 position 0.079" (2.00mm)</t>
  </si>
  <si>
    <t>JST Sales America Inc.</t>
  </si>
  <si>
    <t>SI4101DY-T1-GE3</t>
  </si>
  <si>
    <t>TrenchFET® Power MOSFET</t>
  </si>
  <si>
    <t>P-Channel MOSFET</t>
  </si>
  <si>
    <t>./symbols/Transistors/Transistors.SchLib</t>
  </si>
  <si>
    <t>Si4101DY</t>
  </si>
  <si>
    <t>./footprints/Transistors/Transistors.PcbLib</t>
  </si>
  <si>
    <t>SO-8</t>
  </si>
  <si>
    <t>BC817</t>
  </si>
  <si>
    <t>NPN Epitaxial Silicon Transistor</t>
  </si>
  <si>
    <t>On Semiconductor</t>
  </si>
  <si>
    <t>SOT-23-3</t>
  </si>
  <si>
    <t>IRLML2060TRPBF</t>
  </si>
  <si>
    <t>Power MOSFET</t>
  </si>
  <si>
    <t>Infineon Technologies</t>
  </si>
  <si>
    <t>N-Channel MOSFET</t>
  </si>
  <si>
    <t>Si7232DN</t>
  </si>
  <si>
    <t>Dual N-Channel 20 V (D-S) MOSFET</t>
  </si>
  <si>
    <t>SS24FL</t>
  </si>
  <si>
    <t>40V 2A Schottky Barrier Rectifier, SOD-123F Package</t>
  </si>
  <si>
    <t>Onsemi</t>
  </si>
  <si>
    <t>SOD-123F</t>
  </si>
  <si>
    <t>./symbols/Diodes/Diode.SchLib</t>
  </si>
  <si>
    <t>Diode</t>
  </si>
  <si>
    <t>./footprints/Diodes/diode.PcbLib</t>
  </si>
  <si>
    <t>MBRA160T3G</t>
  </si>
  <si>
    <t>60V 1A Schottky Barrier Rectifier, SMA Package</t>
  </si>
  <si>
    <t>DO-214AC</t>
  </si>
  <si>
    <t>REPER</t>
  </si>
  <si>
    <t>Реперная точка для автоматического монтажа</t>
  </si>
  <si>
    <t>./symbols/MISC/MISC.SchLib</t>
  </si>
  <si>
    <t>./footprints/MISC/MISC.PcbLib</t>
  </si>
  <si>
    <t>CP</t>
  </si>
  <si>
    <t>Контактная площадка</t>
  </si>
  <si>
    <t>BZX84C13</t>
  </si>
  <si>
    <t>SURFACE MOUNT 350mW SILICON ZENER DIODE</t>
  </si>
  <si>
    <t>On Semi</t>
  </si>
  <si>
    <t>Diode-sot23-3</t>
  </si>
  <si>
    <t>ECS-LVDS33-1000-BN</t>
  </si>
  <si>
    <t>SMD LVDS oscillators</t>
  </si>
  <si>
    <t>ESC</t>
  </si>
  <si>
    <t>ECS-LVDS</t>
  </si>
  <si>
    <t>LSM6DS3TR-C</t>
  </si>
  <si>
    <t>Always-on 3D accelerometer and 3D gyroscope</t>
  </si>
  <si>
    <t>ST</t>
  </si>
  <si>
    <t>LGA-14L</t>
  </si>
  <si>
    <t>LGA14-2.5X3MM</t>
  </si>
  <si>
    <t>SN74LVC1G08DCKRE4</t>
  </si>
  <si>
    <t>single 2-input positive-AND gate is designed for 1.65-V to 5.5-V VCC operation</t>
  </si>
  <si>
    <t>SC70</t>
  </si>
  <si>
    <t>TCM1-63AX+</t>
  </si>
  <si>
    <t>RF Transformer Ultra wide bandwidth 10 to 6000 MHz</t>
  </si>
  <si>
    <t>DB1627</t>
  </si>
  <si>
    <t>./symbols/Passive/balun.SchLib</t>
  </si>
  <si>
    <t>CX3225SB12000H0FLJCC</t>
  </si>
  <si>
    <t>12 MHz ±10ppm Crystal 12pF 150 Ohms 4-SMD, No Lead</t>
  </si>
  <si>
    <t>KYOCERA AVX</t>
  </si>
  <si>
    <t>1825140-2</t>
  </si>
  <si>
    <t>Dip Switch SPST 4 Position Surface Mount Slide (Standard) Actuator 25mA 24VDC</t>
  </si>
  <si>
    <t>TE Connectivity ALCOSWITCH Switches</t>
  </si>
  <si>
    <t>DIPSW_4</t>
  </si>
  <si>
    <t>LTST-C191KGKT</t>
  </si>
  <si>
    <t>Green 571nm LED Indication - Discrete 2V 0603 (1608 Metric)</t>
  </si>
  <si>
    <t>Lite-On Inc.</t>
  </si>
  <si>
    <t>./symbols/Diodes/diode.SchLib</t>
  </si>
  <si>
    <t>LED</t>
  </si>
  <si>
    <t>R0603</t>
  </si>
  <si>
    <t>B3U-1100P-B</t>
  </si>
  <si>
    <t>Tactile Switch SPST-NO Top Actuated Surface Mount</t>
  </si>
  <si>
    <t>Omron Electronics Inc-EMC Div</t>
  </si>
  <si>
    <t>SW_BTN</t>
  </si>
  <si>
    <t>CT2064-ND</t>
  </si>
  <si>
    <t>Dip Switch SPST 4 Position Through Hole Slide (Standard) Actuator 50mA 24VDC</t>
  </si>
  <si>
    <t>CTS Electrocomponents</t>
  </si>
  <si>
    <t>SM712-02HTG</t>
  </si>
  <si>
    <t>Littelfuse</t>
  </si>
  <si>
    <t>SM712</t>
  </si>
  <si>
    <t>PESD3V3L1BA</t>
  </si>
  <si>
    <t>Bidirectional ElectroStatic Discharge (ESD) protection diode in a very small SOD323 (SC-76) SMD plastic package designed to protect one signal line from the damage caused by ESD and other transients.</t>
  </si>
  <si>
    <t>SOD323</t>
  </si>
  <si>
    <t>CP_0402</t>
  </si>
  <si>
    <t>Antenna</t>
  </si>
  <si>
    <t>УГО антенны</t>
  </si>
  <si>
    <t>def_ant</t>
  </si>
  <si>
    <t>S_Band_Radiator_Niz</t>
  </si>
  <si>
    <t>Керамическая антенна на S_Band</t>
  </si>
  <si>
    <t>Net_Tie</t>
  </si>
  <si>
    <t>Power</t>
  </si>
  <si>
    <t>SI53340-B-GM</t>
  </si>
  <si>
    <t>Low-Jitter LVDS Fanout Clock Buffers</t>
  </si>
  <si>
    <t>Skyworks</t>
  </si>
  <si>
    <t>QFN-16</t>
  </si>
  <si>
    <t>3.3V</t>
  </si>
  <si>
    <t>./symbols/IC/Analog/Clock.SchLib</t>
  </si>
  <si>
    <t>LMK04828BISQ</t>
  </si>
  <si>
    <t>LMK0482x Ultra Low-Noise JESD204B Compliant Clock Jitter Cleaner with Dual Loop PLLs</t>
  </si>
  <si>
    <t>QFN-64</t>
  </si>
  <si>
    <t>CVHD-950-100.000</t>
  </si>
  <si>
    <t>100 MHz VCXO CMOS Oscillator 3.3V 4-SMD, No Lead</t>
  </si>
  <si>
    <t>Crystek Corporation</t>
  </si>
  <si>
    <t>SMD-4</t>
  </si>
  <si>
    <t>TPD4S012</t>
  </si>
  <si>
    <t>4-Channel ESD Solution for USB-HS/USB OTG/USB Charger Interface</t>
  </si>
  <si>
    <t>SON-6</t>
  </si>
  <si>
    <t>./symbols/IC/Analog/Other.SchLib</t>
  </si>
  <si>
    <t>7B-25.000MAAJ-T</t>
  </si>
  <si>
    <t>25 MHz ±30ppm Crystal 18pF 40 Ohms 4-SMD, No Lead</t>
  </si>
  <si>
    <t>TXC CORPORATION</t>
  </si>
  <si>
    <t>ASGTX-C-122.880MHZ-1</t>
  </si>
  <si>
    <t>122.88 MHz VCTCXO LVCMOS Oscillator 3.135V ~ 3.465V 6-SMD, No Lead</t>
  </si>
  <si>
    <t>Abracon LLC</t>
  </si>
  <si>
    <t>ASGTX-C-120.00MHZ-1</t>
  </si>
  <si>
    <t>120.00 MHz VCTCXO LVCMOS Oscillator 3.135V ~ 3.465V 6-SMD, No Lead</t>
  </si>
  <si>
    <t>SIT5357AI-FQ-33N0-100.000000X</t>
  </si>
  <si>
    <t>±100 ppb precision MEMS Super-TCXO</t>
  </si>
  <si>
    <t>SITIME</t>
  </si>
  <si>
    <t>5.0mmx3.2mm</t>
  </si>
  <si>
    <t>SIT5357</t>
  </si>
  <si>
    <t>5.0x3.2</t>
  </si>
  <si>
    <t>Si53306-B-GM</t>
  </si>
  <si>
    <t>Ultra-Low Additive Jitter Fanout Clock Buffers with up to 10 Universal Outputs from Any-Format Input and Wide Frequency Range from 1 MHz to 725 MHz</t>
  </si>
  <si>
    <t>1.8-3.3V</t>
  </si>
  <si>
    <t>Si53306</t>
  </si>
  <si>
    <t>QFN16-3X3</t>
  </si>
  <si>
    <t>ADA4930-1</t>
  </si>
  <si>
    <t>very low noise, low distortion, high speed differential amplifiers</t>
  </si>
  <si>
    <t>./symbols/IC/Analog/OpAmp.SchLib</t>
  </si>
  <si>
    <t>CP-16-21</t>
  </si>
  <si>
    <t>INA293A2</t>
  </si>
  <si>
    <t>INA293 –4 V to 110 V, 1.3-MHz, Ultra-Precise Current Sense Amplifier</t>
  </si>
  <si>
    <t>SOT-23</t>
  </si>
  <si>
    <t>INA293</t>
  </si>
  <si>
    <t>TXS02612RTWR</t>
  </si>
  <si>
    <t>SDIO PORT EXPANDER WITH VOLTAGE-LEVEL TRANSLATION</t>
  </si>
  <si>
    <t>Voltage-Level Translators</t>
  </si>
  <si>
    <t>QFN-24</t>
  </si>
  <si>
    <t>./symbols/IC/DIGITAL/Digital.SchLib</t>
  </si>
  <si>
    <t>TXS02612</t>
  </si>
  <si>
    <t>SN74AVC4T245RSVR</t>
  </si>
  <si>
    <t>Four-bit dual-supply bus transceiver with configurable voltage-level shifting</t>
  </si>
  <si>
    <t>Bus Transceivers</t>
  </si>
  <si>
    <t>UQFN-16</t>
  </si>
  <si>
    <t>SN74AVC2T245RSW</t>
  </si>
  <si>
    <t>SN74AVC2T245 Dual-Bit Dual-Supply Bus Transceiver with Configurable LevelShifting / Voltage Translation and Tri-State Outputs</t>
  </si>
  <si>
    <t>UQFN-10</t>
  </si>
  <si>
    <t>FT4232HL</t>
  </si>
  <si>
    <t>USB Hi-Speed to Quad Channel Serial UART/JTAG/SPI/I2C IC, LQFP-64</t>
  </si>
  <si>
    <t>FTDI</t>
  </si>
  <si>
    <t>Communication Interfaces &amp; Line Drivers</t>
  </si>
  <si>
    <t>LQFP-64</t>
  </si>
  <si>
    <t>LQPF-64</t>
  </si>
  <si>
    <t>TXS0108EPW</t>
  </si>
  <si>
    <t>8-Bit Bi-Directional, Level-Shifting, Voltage Translator for Open-Drain and Push-Pull Applications</t>
  </si>
  <si>
    <t>TSSOP-20</t>
  </si>
  <si>
    <t>TXS0108E</t>
  </si>
  <si>
    <t>93LC56BT/SN</t>
  </si>
  <si>
    <t>IC EEPROM 2KBIT MICROWIRE 8SOIC</t>
  </si>
  <si>
    <t>Microchip Technology</t>
  </si>
  <si>
    <t>Memory</t>
  </si>
  <si>
    <t>SOIC-8</t>
  </si>
  <si>
    <t>DP83867ISRGZ</t>
  </si>
  <si>
    <t>Industrial temperature, robust gigabit Ethernet PHY transceiver with SGMII</t>
  </si>
  <si>
    <t>VQFN-48</t>
  </si>
  <si>
    <t>MAX3485CSA</t>
  </si>
  <si>
    <t>1/1 Transceiver Half RS422, RS485 8-SOIC</t>
  </si>
  <si>
    <t>MAX3485</t>
  </si>
  <si>
    <t>SN74LVC1G14DBVT</t>
  </si>
  <si>
    <t>Single 1.65-V to 5.5-V inverter with Schmitt-Trigger inputs</t>
  </si>
  <si>
    <t>Logic Gates, Buffers, Inverters</t>
  </si>
  <si>
    <t>SN74LVC1G17DBVT</t>
  </si>
  <si>
    <t>Single 1.65-V to 5.5-V buffer with Schmitt-Trigger inputs</t>
  </si>
  <si>
    <t>TXS0104ERGYR</t>
  </si>
  <si>
    <t>4-Bit Bidirectional Voltage-Level Translator for
Open-Drain and Push-Pull Applications</t>
  </si>
  <si>
    <t>VQFN-14</t>
  </si>
  <si>
    <t>TXS0104E</t>
  </si>
  <si>
    <t>SN65LVDS1DBVR</t>
  </si>
  <si>
    <t>single, low-voltage, differential line driver</t>
  </si>
  <si>
    <t>SN65LVDS1</t>
  </si>
  <si>
    <t>SN74ACT04PWR</t>
  </si>
  <si>
    <t>6-ch, 4.5-V to 5.5-V inverters with TTL-compatible CMOS inputs</t>
  </si>
  <si>
    <t>TSSOP-14</t>
  </si>
  <si>
    <t>SN74ACT04</t>
  </si>
  <si>
    <t>SN74ACT17PWR</t>
  </si>
  <si>
    <t>6-channel buffer with Schmitt-trigger inputs</t>
  </si>
  <si>
    <t>SN74ACT17</t>
  </si>
  <si>
    <t>8-Bit Dual-Supply Bus Transceiver With Configurable Voltage Translation and 3-State Outputs</t>
  </si>
  <si>
    <t>VQFN-24</t>
  </si>
  <si>
    <t>SN74LVC8T245</t>
  </si>
  <si>
    <t>SN74LVC04ARGYR</t>
  </si>
  <si>
    <t>The SNx4LVC04A hex inverters contains six independent inverters designed for 2.7-V to 3.6-V VCC operation</t>
  </si>
  <si>
    <t>SN74LVC04A</t>
  </si>
  <si>
    <t>SN74LVC1G04DSF2</t>
  </si>
  <si>
    <t>Single inverter gate is designed for 1.65V to 5.5V VCC operation.</t>
  </si>
  <si>
    <t>X2SON-6</t>
  </si>
  <si>
    <t>SN65LVDT2DBV</t>
  </si>
  <si>
    <t>single, low-voltage, differential line reciever</t>
  </si>
  <si>
    <t>SN65LVDS4RSE</t>
  </si>
  <si>
    <t>a single, low-voltage, differential line receiver in a small-outline UQFN package</t>
  </si>
  <si>
    <t>SN65LVDS4</t>
  </si>
  <si>
    <t>AD9717BCPZ</t>
  </si>
  <si>
    <t>Digital to Analog Converters - DAC Dual 14B, Low Power D-A Converter</t>
  </si>
  <si>
    <t>Data Converters</t>
  </si>
  <si>
    <t>LFCSP-40</t>
  </si>
  <si>
    <t>AD9717</t>
  </si>
  <si>
    <t>SN74AXC4T774RSV</t>
  </si>
  <si>
    <t>4-Bit Dual-Supply Bus Transceiver with Independent Direction Control, Configurable Voltage Translation, and Tri-State Outputs</t>
  </si>
  <si>
    <t>SN74AXC4T774</t>
  </si>
  <si>
    <t>ICM-20948</t>
  </si>
  <si>
    <t>World’s Lowest Power 9-Axis MEMS MotionTracking™ Device</t>
  </si>
  <si>
    <t>TDK</t>
  </si>
  <si>
    <t>IMU</t>
  </si>
  <si>
    <t>MX25L12833FM2I-10G</t>
  </si>
  <si>
    <t>FLASH - NOR Memory IC 128Mbit SPI - Quad I/O, QPI 133 MHz 8-SOP</t>
  </si>
  <si>
    <t>Macronix</t>
  </si>
  <si>
    <t>SOP-8</t>
  </si>
  <si>
    <t>LTC2875HS8</t>
  </si>
  <si>
    <t>High Speed CAN FD Transceiver</t>
  </si>
  <si>
    <t>iNEMO inertial module: always-on 3D accelerometer and 3D gyroscop</t>
  </si>
  <si>
    <t>LSM6DS3TR</t>
  </si>
  <si>
    <t>LIS3MDL</t>
  </si>
  <si>
    <t>Digital output magnetic sensor: ultralow-power, high-performance 3-axis magnetometer</t>
  </si>
  <si>
    <t>LGA-12L</t>
  </si>
  <si>
    <t>XC7S50-1FTGB196C</t>
  </si>
  <si>
    <t>Spartan®-7 Field Programmable Gate Array (FPGA) IC 100 2764800 52160 196-LBGA, CSPBGA</t>
  </si>
  <si>
    <t>Xilinx</t>
  </si>
  <si>
    <t>LBGA-196</t>
  </si>
  <si>
    <t>./symbols/IC/Processors/FPGA.SchLib</t>
  </si>
  <si>
    <t>Ceramic Chip Capacitor 0402 X7R 0.1µF ±10% 16V</t>
  </si>
  <si>
    <t>Tantalum</t>
  </si>
  <si>
    <t>520L103KT16T</t>
  </si>
  <si>
    <t>Ceramic Chip Capacitor 0402 X7R 10nF ±10% 16V</t>
  </si>
  <si>
    <t>ATC / KYOCERA AVX</t>
  </si>
  <si>
    <t>C-0402-520L103KT16T</t>
  </si>
  <si>
    <t>GJM1555C1HR15RB12D</t>
  </si>
  <si>
    <t>0.15pF ±0.03pF 50V C0G/NP0 0402 Multilayer Ceramic Capacitor</t>
  </si>
  <si>
    <t>0.15pF</t>
  </si>
  <si>
    <t>±0,03</t>
  </si>
  <si>
    <t>GRM1555C1H6R0WA01D</t>
  </si>
  <si>
    <t>6pF ±0.05pF 50V C0G 0402 Multilayer Ceramic Capacitor</t>
  </si>
  <si>
    <t>6pF</t>
  </si>
  <si>
    <t>±0,1</t>
  </si>
  <si>
    <t>550L104KTT</t>
  </si>
  <si>
    <t>Specialty Ceramic Capacitors 16V 0.1uF Tol 10%</t>
  </si>
  <si>
    <t>C-0402-550L104KTT</t>
  </si>
  <si>
    <t>100pF±2% 50V C0G 0402 Multilayer Ceramic Capacitor</t>
  </si>
  <si>
    <t>10pF±5% 50V C0G 0402 Multilayer Ceramic Capacitor</t>
  </si>
  <si>
    <t>39pF±5% 50V C0G 0402 Multilayer Ceramic Capacitor</t>
  </si>
  <si>
    <t>GRM1555C1H681JA01D</t>
  </si>
  <si>
    <t>680pF±5% 50V C0G Multilayer Ceramic Capacitor</t>
  </si>
  <si>
    <t>680pF</t>
  </si>
  <si>
    <t>GRM1555C1H5R6WA01D</t>
  </si>
  <si>
    <t>5.6pF±0.05pF 50V C0G 0402 Multilayer Ceramic Capacitor</t>
  </si>
  <si>
    <t>5.6pF</t>
  </si>
  <si>
    <t>GRM1555C1H180JA01D</t>
  </si>
  <si>
    <t>18pF±5% 50V C0G 0402 Multilayer Ceramic Capacitor</t>
  </si>
  <si>
    <t>18pF</t>
  </si>
  <si>
    <t>GRM1555C1H220JA01D</t>
  </si>
  <si>
    <t>22pF±5% 50V C0G 0402 Multilayer Ceramic Capacitor</t>
  </si>
  <si>
    <t>22pF</t>
  </si>
  <si>
    <t>LM2585S-ADJ/NOPB</t>
  </si>
  <si>
    <t>Switching Voltage Regulators 3A STEP-DOWN</t>
  </si>
  <si>
    <t>LTM4653EY#PBF</t>
  </si>
  <si>
    <t>EN55022B compliant 58V, 4A step-down DC/DC µModule regulator</t>
  </si>
  <si>
    <t>3.1 to 58</t>
  </si>
  <si>
    <t>0.5 to 0.94 × Vin</t>
  </si>
  <si>
    <t>LTM4653</t>
  </si>
  <si>
    <t>742792040</t>
  </si>
  <si>
    <t>Qorvo</t>
  </si>
  <si>
    <t>3350BP39A0500001E</t>
  </si>
  <si>
    <t>LFCW-8700+</t>
  </si>
  <si>
    <t>N-Channel BJT</t>
  </si>
  <si>
    <t>SM712 TVS Diode Array is designed to protect RS-485 applications</t>
  </si>
  <si>
    <t>SN74LVC8T245RHL</t>
  </si>
  <si>
    <t>BDCN-14-342+</t>
  </si>
  <si>
    <t>High Power Bi-Directional Coupler 50Ω 14 dB Coupling DC Pass 1700 to 3400 MHz</t>
  </si>
  <si>
    <t>Coupler</t>
  </si>
  <si>
    <t>GaAs MMIC 10 Watt T/R Switch DC - 4 GHz</t>
  </si>
  <si>
    <t>MSOP8G</t>
  </si>
  <si>
    <t>HMC784AMS8GE</t>
  </si>
  <si>
    <t>TC4428AEUA</t>
  </si>
  <si>
    <t>1.5A Dual High-Speed Power MOSFET Drivers</t>
  </si>
  <si>
    <t>MSOP-8</t>
  </si>
  <si>
    <t>TC4428A</t>
  </si>
  <si>
    <t>RC0805FR-0749R9L</t>
  </si>
  <si>
    <t>49.9Ω ±1% 0.063W 0805 Thick Film Chip Resistor</t>
  </si>
  <si>
    <t>Synchronous Boost µModule Regulator with Input-Output Short Protection</t>
  </si>
  <si>
    <t>BGA-144</t>
  </si>
  <si>
    <t>4.5 to 28</t>
  </si>
  <si>
    <t>6 to 36</t>
  </si>
  <si>
    <t>LTM4656</t>
  </si>
  <si>
    <t>BGA144</t>
  </si>
  <si>
    <t>SS54B</t>
  </si>
  <si>
    <t>DO-214AA</t>
  </si>
  <si>
    <t>Youtai Semiconductor</t>
  </si>
  <si>
    <t>40V 5A SCHOTTKY BARRIER RECTIFIER</t>
  </si>
  <si>
    <t>LTM4656EY#PBF</t>
  </si>
  <si>
    <t>TMUX6219</t>
  </si>
  <si>
    <t>Low Ron, 2:1 (SPDT) Switch with 1.8V Logic</t>
  </si>
  <si>
    <t>WSON-8</t>
  </si>
  <si>
    <t>TMUX6219RQX</t>
  </si>
  <si>
    <t>ADP7142AUJZ</t>
  </si>
  <si>
    <t>40 V, 200 mA, Low Noise, CMOS LDO Linear Regulator</t>
  </si>
  <si>
    <t>TSOT-5</t>
  </si>
  <si>
    <t>2.7 to 40</t>
  </si>
  <si>
    <t>ADP7142</t>
  </si>
  <si>
    <t>1.2 to Vin-Vdo</t>
  </si>
  <si>
    <t>Panasonic</t>
  </si>
  <si>
    <t>DFE32CAH1R0MR0L</t>
  </si>
  <si>
    <t>1 µH Shielded Wirewound Inductor 4.1 A 22mOhm Max 1210 (3225 Metric)</t>
  </si>
  <si>
    <t>Murata</t>
  </si>
  <si>
    <t>LT8645S</t>
  </si>
  <si>
    <t>DFE32</t>
  </si>
  <si>
    <t>65V, 8A Synchronous Step-Down Silent Switcher 2 with 2.5µA Quiescent Current</t>
  </si>
  <si>
    <t>LQFN-32</t>
  </si>
  <si>
    <t>3.4 to 65</t>
  </si>
  <si>
    <t>EEH-ZK1V101XV</t>
  </si>
  <si>
    <t>Aluminium Organic Polymer Capacitors 35v 100uf 125degC 10 x 10.2mm SMD</t>
  </si>
  <si>
    <t>C6.3X7.7</t>
  </si>
  <si>
    <t>Electrolytic / Hybrid Polymer</t>
  </si>
  <si>
    <t>Hybrid Polymer Aluminum Electrolytic</t>
  </si>
  <si>
    <t>С-EEH-ZK1V101XV</t>
  </si>
  <si>
    <t>GRM21BR61H106KE43K</t>
  </si>
  <si>
    <t>Multilayer Ceramic Capacitors MLCC - SMD/SMT 10 uF 50 VDC 10% 0805 X5R</t>
  </si>
  <si>
    <t>GRM21BR71H474MA88L</t>
  </si>
  <si>
    <t>Multilayer Ceramic Capacitors MLCC - SMD/SMT 0.47 uF 50 VDC 20% 0805 X7R</t>
  </si>
  <si>
    <t>RC0402FR-0735K8L</t>
  </si>
  <si>
    <t>35.8kΩ ±1% 0.063W 0402 Thick Film Chip Resistor</t>
  </si>
  <si>
    <t>35K8</t>
  </si>
  <si>
    <t>RB058LAM-60</t>
  </si>
  <si>
    <t>DIODE SCHOTTKY 60V 3A PMDTM</t>
  </si>
  <si>
    <t>Rohm Semiconductor</t>
  </si>
  <si>
    <t>SOD-128</t>
  </si>
  <si>
    <t>Power Inductors - SMD WE-MAPI 10 uH 3.3 A 70.2mOhms AEC-Q200</t>
  </si>
  <si>
    <t>5.6x5.4</t>
  </si>
  <si>
    <t>WE-MAPI</t>
  </si>
  <si>
    <t>Jumper</t>
  </si>
  <si>
    <t>SOLDER_JUMPER_2PIN</t>
  </si>
  <si>
    <t>Solder Jumper for high amp</t>
  </si>
  <si>
    <t>RC0402FR-0769K1L</t>
  </si>
  <si>
    <t>69.1kΩ ±1% 0.063W 0402 Thick Film Chip Resistor</t>
  </si>
  <si>
    <t>69K1</t>
  </si>
  <si>
    <t>7443844020047</t>
  </si>
  <si>
    <t>FIXED IND 4.7UH 5.2A 46.4 MOHM</t>
  </si>
  <si>
    <t>4.1x4.1</t>
  </si>
  <si>
    <t>WE-MXGI</t>
  </si>
  <si>
    <t>WE-CBF</t>
  </si>
  <si>
    <t>C6.3x7.7</t>
  </si>
  <si>
    <t>RC0201FR-072K2L</t>
  </si>
  <si>
    <t>2.2kΩ ±1% 0.063W 0201 Thick Film Chip Resistor</t>
  </si>
  <si>
    <t>74LVC1G08GV</t>
  </si>
  <si>
    <t>Single 2-input AND gate</t>
  </si>
  <si>
    <t>NEXPERIA</t>
  </si>
  <si>
    <t>SC-74A</t>
  </si>
  <si>
    <t>TMUX4157N</t>
  </si>
  <si>
    <t>-12 V Low RON, 2:1 (SPDT) Negative Voltage Switch with 1.8-V Logic Control</t>
  </si>
  <si>
    <t>SC70-6</t>
  </si>
  <si>
    <t>OPA4197</t>
  </si>
  <si>
    <t>Precision, Rail-to-Rail Input/Output, Low Offset Voltage, Operational Amplifiers</t>
  </si>
  <si>
    <t>±2.25V to ±36 V</t>
  </si>
  <si>
    <t>RC0201FR-0726K4L</t>
  </si>
  <si>
    <t>26.4kΩ ±1% 0.063W 0201 Thick Film Chip Resistor</t>
  </si>
  <si>
    <t>26K4</t>
  </si>
  <si>
    <t>RC0201FR-0716KL</t>
  </si>
  <si>
    <t>16kΩ ±1% 0.063W 0201 Thick Film Chip Resistor</t>
  </si>
  <si>
    <t>16K</t>
  </si>
  <si>
    <t>RC0201FR-0713KL</t>
  </si>
  <si>
    <t>13kΩ ±1% 0.063W 0201 Thick Film Chip Resistor</t>
  </si>
  <si>
    <t>13K</t>
  </si>
  <si>
    <t>SN74LVC08ARGY</t>
  </si>
  <si>
    <t>quadruple 2-input positive-AND gate is designed for 1.65V to 3.6V VCC operation</t>
  </si>
  <si>
    <t>SN74LVC00ARGY</t>
  </si>
  <si>
    <t>quadruple 2-input positive-NAND gate is designed for 1.65V to 3.6V VCC operation</t>
  </si>
  <si>
    <t>quadruple 2-input positive-OR gate is designed for 1.65V to 3.6V VCC operation</t>
  </si>
  <si>
    <t>SN74LVC32ARGY</t>
  </si>
  <si>
    <t>ERJ-3BWFR025V</t>
  </si>
  <si>
    <t>CURRENT SENSE RES, 0R025, 1%, 330 MW; Resistance:0.025ohm</t>
  </si>
  <si>
    <t>PANASONIC</t>
  </si>
  <si>
    <t>0R025</t>
  </si>
  <si>
    <t>TMUX4053BQB</t>
  </si>
  <si>
    <t>2:1, 3 channel switch</t>
  </si>
  <si>
    <t>WQFN-16</t>
  </si>
  <si>
    <t>MUX</t>
  </si>
  <si>
    <t>TMUX7234RRQ</t>
  </si>
  <si>
    <t>Low Ron, 2:1, 4 Channel Precision Switches with Latch-Up Immunity and 1.8 V Logic</t>
  </si>
  <si>
    <t>ADM7172ACPZ-3.3</t>
  </si>
  <si>
    <t>6.5 V, 2 A, Ultralow Noise, High PSRR, Fast Transient Response CMOS LDO</t>
  </si>
  <si>
    <t>SC70-5</t>
  </si>
  <si>
    <t>Single 2-Input Positive NOR-Gate</t>
  </si>
  <si>
    <t>SN74LVC1G02DCK</t>
  </si>
  <si>
    <t>R0603_ERJ</t>
  </si>
  <si>
    <t>600S101JW250X</t>
  </si>
  <si>
    <t>100 pF ±5% 250V Ceramic Capacitor C0G, NP0 0603 (1608 Metric)</t>
  </si>
  <si>
    <t>C-0603-600S101JW250X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</si>
</sst>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indexed="8"/>
      <name val="Calibri"/>
    </font>
    <font>
      <b/>
      <sz val="12"/>
      <color indexed="8"/>
      <name val="Calibri"/>
    </font>
    <font>
      <sz val="12"/>
      <color theme="10"/>
      <name val="Calibri"/>
    </font>
    <font>
      <sz val="12"/>
      <color indexed="8"/>
      <name val="Calibri"/>
    </font>
    <font>
      <sz val="11"/>
      <color rgb="FF242424"/>
      <name val="Aptos Narrow"/>
    </font>
    <font>
      <sz val="12"/>
      <color rgb="FF000000"/>
      <name val="Arial"/>
    </font>
    <font>
      <sz val="12"/>
      <color rgb="FF000000"/>
      <name val="Calibri"/>
    </font>
    <font>
      <sz val="12"/>
      <color rgb="FF101820"/>
      <name val="Arial"/>
    </font>
    <font>
      <sz val="12"/>
      <color rgb="FF333333"/>
      <name val="Arial"/>
    </font>
    <font>
      <sz val="11"/>
      <color rgb="FF333333"/>
      <name val="Arial"/>
    </font>
    <font>
      <sz val="11"/>
      <color rgb="FF000000"/>
      <name val="Arial"/>
    </font>
    <font>
      <sz val="12"/>
      <color theme="1"/>
      <name val="Calibri"/>
    </font>
    <font>
      <sz val="12"/>
      <color indexed="8"/>
      <name val="Calibri"/>
    </font>
    <font>
      <sz val="12"/>
      <color rgb="FF333333"/>
      <name val="Calibri"/>
    </font>
    <font>
      <sz val="12"/>
      <color indexed="8"/>
      <name val="Calibri"/>
      <family val="2"/>
      <charset val="204"/>
    </font>
    <font>
      <sz val="8"/>
      <name val="Calibri"/>
      <family val="2"/>
      <charset val="204"/>
    </font>
    <font>
      <sz val="12"/>
      <color indexed="8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3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0" fillId="0" borderId="0" xfId="0" applyNumberForma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14" fillId="0" borderId="0" xfId="0" applyNumberFormat="1" applyFont="1" applyAlignment="1">
      <alignment horizontal="center" vertical="center"/>
    </xf>
  </cellXfs>
  <cellStyles count="2">
    <cellStyle name="Гиперссылка" xfId="1" xr:uid="{00000000-0005-0000-0000-000000000000}"/>
    <cellStyle name="Обычный" xfId="0" builtinId="0"/>
  </cellStyles>
  <dxfs count="29"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FD8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LibraryTable1" displayName="LibraryTable1" ref="A1:O44" totalsRowShown="0" headerRowDxfId="2" dataDxfId="1">
  <autoFilter ref="A1:O44" xr:uid="{00000000-0009-0000-0100-00000B000000}"/>
  <tableColumns count="15">
    <tableColumn id="1" xr3:uid="{00000000-0010-0000-0000-000001000000}" name="Part Number" dataDxfId="17"/>
    <tableColumn id="2" xr3:uid="{00000000-0010-0000-0000-000002000000}" name="Description" dataDxfId="16"/>
    <tableColumn id="3" xr3:uid="{00000000-0010-0000-0000-000003000000}" name="Manufacturer" dataDxfId="15"/>
    <tableColumn id="4" xr3:uid="{00000000-0010-0000-0000-000004000000}" name="Package" dataDxfId="14"/>
    <tableColumn id="5" xr3:uid="{00000000-0010-0000-0000-000005000000}" name="Value" dataDxfId="13"/>
    <tableColumn id="6" xr3:uid="{00000000-0010-0000-0000-000006000000}" name="Voltage_V" dataDxfId="12"/>
    <tableColumn id="7" xr3:uid="{00000000-0010-0000-0000-000007000000}" name="Dielectric_Class" dataDxfId="11"/>
    <tableColumn id="8" xr3:uid="{00000000-0010-0000-0000-000008000000}" name="Tolerance" dataDxfId="10"/>
    <tableColumn id="9" xr3:uid="{00000000-0010-0000-0000-000009000000}" name="Type" dataDxfId="9"/>
    <tableColumn id="10" xr3:uid="{00000000-0010-0000-0000-00000A000000}" name="Library Path" dataDxfId="8"/>
    <tableColumn id="11" xr3:uid="{00000000-0010-0000-0000-00000B000000}" name="Library Ref" dataDxfId="7"/>
    <tableColumn id="12" xr3:uid="{00000000-0010-0000-0000-00000C000000}" name="Footprint Path 1" dataDxfId="6"/>
    <tableColumn id="13" xr3:uid="{00000000-0010-0000-0000-00000D000000}" name="Footprint Ref 1" dataDxfId="5"/>
    <tableColumn id="16" xr3:uid="{00000000-0010-0000-0000-000010000000}" name="UID" dataDxfId="4"/>
    <tableColumn id="17" xr3:uid="{00000000-0010-0000-0000-000011000000}" name="PnP_name" dataDxfId="3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LibraryTable2" displayName="LibraryTable2" ref="A1:S17" totalsRowShown="0">
  <autoFilter ref="A1:S17" xr:uid="{00000000-0009-0000-0100-00000C000000}"/>
  <tableColumns count="19">
    <tableColumn id="1" xr3:uid="{00000000-0010-0000-0100-000001000000}" name="Part Number"/>
    <tableColumn id="2" xr3:uid="{00000000-0010-0000-0100-000002000000}" name="Description"/>
    <tableColumn id="3" xr3:uid="{00000000-0010-0000-0100-000003000000}" name="Manufacturer"/>
    <tableColumn id="4" xr3:uid="{00000000-0010-0000-0100-000004000000}" name="Package"/>
    <tableColumn id="5" xr3:uid="{00000000-0010-0000-0100-000005000000}" name="Value"/>
    <tableColumn id="6" xr3:uid="{00000000-0010-0000-0100-000006000000}" name="Voltage_V"/>
    <tableColumn id="7" xr3:uid="{00000000-0010-0000-0100-000007000000}" name="Dielectric_Class"/>
    <tableColumn id="8" xr3:uid="{00000000-0010-0000-0100-000008000000}" name="Tolerance"/>
    <tableColumn id="9" xr3:uid="{00000000-0010-0000-0100-000009000000}" name="SRF"/>
    <tableColumn id="10" xr3:uid="{00000000-0010-0000-0100-00000A000000}" name="ComponentClass"/>
    <tableColumn id="11" xr3:uid="{00000000-0010-0000-0100-00000B000000}" name="Type"/>
    <tableColumn id="12" xr3:uid="{00000000-0010-0000-0100-00000C000000}" name="Library Path"/>
    <tableColumn id="13" xr3:uid="{00000000-0010-0000-0100-00000D000000}" name="Library Ref"/>
    <tableColumn id="14" xr3:uid="{00000000-0010-0000-0100-00000E000000}" name="Footprint Path 1"/>
    <tableColumn id="15" xr3:uid="{00000000-0010-0000-0100-00000F000000}" name="Footprint Ref 1"/>
    <tableColumn id="16" xr3:uid="{00000000-0010-0000-0100-000010000000}" name="Footprint Path 2"/>
    <tableColumn id="17" xr3:uid="{00000000-0010-0000-0100-000011000000}" name="Footprint Ref 2"/>
    <tableColumn id="18" xr3:uid="{00000000-0010-0000-0100-000012000000}" name="UID"/>
    <tableColumn id="19" xr3:uid="{00000000-0010-0000-0100-000013000000}" name="PnP_name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LibraryTable4" displayName="LibraryTable4" ref="A1:L108" totalsRowShown="0">
  <autoFilter ref="A1:L108" xr:uid="{00000000-0009-0000-0100-00000E000000}"/>
  <sortState xmlns:xlrd2="http://schemas.microsoft.com/office/spreadsheetml/2017/richdata2" ref="A2:L103">
    <sortCondition ref="E1:E103"/>
  </sortState>
  <tableColumns count="12">
    <tableColumn id="1" xr3:uid="{00000000-0010-0000-0300-000001000000}" name="Part Number"/>
    <tableColumn id="2" xr3:uid="{00000000-0010-0000-0300-000002000000}" name="Description"/>
    <tableColumn id="3" xr3:uid="{00000000-0010-0000-0300-000003000000}" name="Manufacturer"/>
    <tableColumn id="4" xr3:uid="{00000000-0010-0000-0300-000004000000}" name="Package"/>
    <tableColumn id="5" xr3:uid="{00000000-0010-0000-0300-000005000000}" name="Value"/>
    <tableColumn id="6" xr3:uid="{00000000-0010-0000-0300-000006000000}" name="Tolerance"/>
    <tableColumn id="7" xr3:uid="{00000000-0010-0000-0300-000007000000}" name="Library Path"/>
    <tableColumn id="8" xr3:uid="{00000000-0010-0000-0300-000008000000}" name="Library Ref"/>
    <tableColumn id="9" xr3:uid="{00000000-0010-0000-0300-000009000000}" name="Footprint Path"/>
    <tableColumn id="10" xr3:uid="{00000000-0010-0000-0300-00000A000000}" name="Footprint Ref"/>
    <tableColumn id="11" xr3:uid="{00000000-0010-0000-0300-00000B000000}" name="UID"/>
    <tableColumn id="12" xr3:uid="{00000000-0010-0000-0300-00000C000000}" name="PnP_Name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LibraryTable5" displayName="LibraryTable5" ref="A1:M16" totalsRowShown="0">
  <autoFilter ref="A1:M16" xr:uid="{00000000-0009-0000-0100-00000F000000}"/>
  <tableColumns count="13">
    <tableColumn id="1" xr3:uid="{00000000-0010-0000-0400-000001000000}" name="Part Number"/>
    <tableColumn id="2" xr3:uid="{00000000-0010-0000-0400-000002000000}" name="Description"/>
    <tableColumn id="3" xr3:uid="{00000000-0010-0000-0400-000003000000}" name="Manufacturer"/>
    <tableColumn id="4" xr3:uid="{00000000-0010-0000-0400-000004000000}" name="Package"/>
    <tableColumn id="5" xr3:uid="{00000000-0010-0000-0400-000005000000}" name="Value"/>
    <tableColumn id="6" xr3:uid="{00000000-0010-0000-0400-000006000000}" name="ComponentClass"/>
    <tableColumn id="7" xr3:uid="{00000000-0010-0000-0400-000007000000}" name="Q_Factor_at_Freq"/>
    <tableColumn id="8" xr3:uid="{00000000-0010-0000-0400-000008000000}" name="Library Path"/>
    <tableColumn id="9" xr3:uid="{00000000-0010-0000-0400-000009000000}" name="Library Ref"/>
    <tableColumn id="10" xr3:uid="{00000000-0010-0000-0400-00000A000000}" name="Footprint Path"/>
    <tableColumn id="11" xr3:uid="{00000000-0010-0000-0400-00000B000000}" name="Footprint Ref"/>
    <tableColumn id="12" xr3:uid="{00000000-0010-0000-0400-00000C000000}" name="UID"/>
    <tableColumn id="13" xr3:uid="{00000000-0010-0000-0400-00000D000000}" name="PnP_Name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LibraryTable6" displayName="LibraryTable6" ref="A1:K14" totalsRowShown="0">
  <autoFilter ref="A1:K14" xr:uid="{00000000-0009-0000-0100-000010000000}"/>
  <tableColumns count="11">
    <tableColumn id="1" xr3:uid="{00000000-0010-0000-0500-000001000000}" name="Part Number"/>
    <tableColumn id="2" xr3:uid="{00000000-0010-0000-0500-000002000000}" name="Description"/>
    <tableColumn id="3" xr3:uid="{00000000-0010-0000-0500-000003000000}" name="Manufacturer"/>
    <tableColumn id="4" xr3:uid="{00000000-0010-0000-0500-000004000000}" name="Package"/>
    <tableColumn id="5" xr3:uid="{00000000-0010-0000-0500-000005000000}" name="Value"/>
    <tableColumn id="6" xr3:uid="{00000000-0010-0000-0500-000006000000}" name="Library Path"/>
    <tableColumn id="7" xr3:uid="{00000000-0010-0000-0500-000007000000}" name="Library Ref"/>
    <tableColumn id="8" xr3:uid="{00000000-0010-0000-0500-000008000000}" name="Footprint Path"/>
    <tableColumn id="9" xr3:uid="{00000000-0010-0000-0500-000009000000}" name="Footprint Ref"/>
    <tableColumn id="10" xr3:uid="{00000000-0010-0000-0500-00000A000000}" name="UID"/>
    <tableColumn id="11" xr3:uid="{00000000-0010-0000-0500-00000B000000}" name="PnP_Name"/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LibraryTable7" displayName="LibraryTable7" ref="A1:I6" totalsRowShown="0">
  <autoFilter ref="A1:I6" xr:uid="{00000000-0009-0000-0100-000011000000}"/>
  <tableColumns count="9">
    <tableColumn id="1" xr3:uid="{00000000-0010-0000-0600-000001000000}" name="Part Number"/>
    <tableColumn id="2" xr3:uid="{00000000-0010-0000-0600-000002000000}" name="Description"/>
    <tableColumn id="3" xr3:uid="{00000000-0010-0000-0600-000003000000}" name="Manufacturer"/>
    <tableColumn id="4" xr3:uid="{00000000-0010-0000-0600-000004000000}" name="Library Path"/>
    <tableColumn id="5" xr3:uid="{00000000-0010-0000-0600-000005000000}" name="Library Ref"/>
    <tableColumn id="6" xr3:uid="{00000000-0010-0000-0600-000006000000}" name="Footprint Path"/>
    <tableColumn id="7" xr3:uid="{00000000-0010-0000-0600-000007000000}" name="Footprint Ref"/>
    <tableColumn id="8" xr3:uid="{00000000-0010-0000-0600-000008000000}" name="UID"/>
    <tableColumn id="9" xr3:uid="{00000000-0010-0000-0600-000009000000}" name="PnP_Name"/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LibraryTable3" displayName="LibraryTable3" ref="A1:M35" totalsRowShown="0">
  <autoFilter ref="A1:M35" xr:uid="{00000000-0009-0000-0100-00000D000000}"/>
  <tableColumns count="13">
    <tableColumn id="1" xr3:uid="{00000000-0010-0000-0200-000001000000}" name="Part Number"/>
    <tableColumn id="2" xr3:uid="{00000000-0010-0000-0200-000002000000}" name="Description"/>
    <tableColumn id="3" xr3:uid="{00000000-0010-0000-0200-000003000000}" name="Manufacturer"/>
    <tableColumn id="4" xr3:uid="{00000000-0010-0000-0200-000004000000}" name="Package"/>
    <tableColumn id="5" xr3:uid="{00000000-0010-0000-0200-000005000000}" name="Vin"/>
    <tableColumn id="6" xr3:uid="{00000000-0010-0000-0200-000006000000}" name="Vout"/>
    <tableColumn id="7" xr3:uid="{00000000-0010-0000-0200-000007000000}" name="Type"/>
    <tableColumn id="8" xr3:uid="{00000000-0010-0000-0200-000008000000}" name="Library Path"/>
    <tableColumn id="9" xr3:uid="{00000000-0010-0000-0200-000009000000}" name="Library Ref"/>
    <tableColumn id="10" xr3:uid="{00000000-0010-0000-0200-00000A000000}" name="Footprint Path"/>
    <tableColumn id="11" xr3:uid="{00000000-0010-0000-0200-00000B000000}" name="Footprint Ref"/>
    <tableColumn id="12" xr3:uid="{00000000-0010-0000-0200-00000C000000}" name="UID"/>
    <tableColumn id="13" xr3:uid="{00000000-0010-0000-0200-00000D000000}" name="PnP_Name"/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LibraryTable12" displayName="LibraryTable12" ref="A1:K14" totalsRowShown="0">
  <autoFilter ref="A1:K14" xr:uid="{00000000-0009-0000-0100-000016000000}"/>
  <tableColumns count="11">
    <tableColumn id="1" xr3:uid="{00000000-0010-0000-0B00-000001000000}" name="Part Number"/>
    <tableColumn id="2" xr3:uid="{00000000-0010-0000-0B00-000002000000}" name="Description"/>
    <tableColumn id="3" xr3:uid="{00000000-0010-0000-0B00-000003000000}" name="Manufacturer"/>
    <tableColumn id="4" xr3:uid="{00000000-0010-0000-0B00-000004000000}" name="Package"/>
    <tableColumn id="5" xr3:uid="{00000000-0010-0000-0B00-000005000000}" name="Power"/>
    <tableColumn id="6" xr3:uid="{00000000-0010-0000-0B00-000006000000}" name="Library Path"/>
    <tableColumn id="7" xr3:uid="{00000000-0010-0000-0B00-000007000000}" name="Library Ref"/>
    <tableColumn id="8" xr3:uid="{00000000-0010-0000-0B00-000008000000}" name="Footprint Path"/>
    <tableColumn id="9" xr3:uid="{00000000-0010-0000-0B00-000009000000}" name="Footprint Ref"/>
    <tableColumn id="10" xr3:uid="{00000000-0010-0000-0B00-00000A000000}" name="UID"/>
    <tableColumn id="11" xr3:uid="{00000000-0010-0000-0B00-00000B000000}" name="PnP_Name"/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C000000}" name="LibraryTable13" displayName="LibraryTable13" ref="A1:K37" totalsRowShown="0">
  <autoFilter ref="A1:K37" xr:uid="{00000000-0009-0000-0100-000017000000}"/>
  <sortState xmlns:xlrd2="http://schemas.microsoft.com/office/spreadsheetml/2017/richdata2" ref="A2:K35">
    <sortCondition ref="D1:D35"/>
  </sortState>
  <tableColumns count="11">
    <tableColumn id="1" xr3:uid="{00000000-0010-0000-0C00-000001000000}" name="Part Number"/>
    <tableColumn id="2" xr3:uid="{00000000-0010-0000-0C00-000002000000}" name="Description"/>
    <tableColumn id="3" xr3:uid="{00000000-0010-0000-0C00-000003000000}" name="Manufacturer"/>
    <tableColumn id="4" xr3:uid="{00000000-0010-0000-0C00-000004000000}" name="Type"/>
    <tableColumn id="5" xr3:uid="{00000000-0010-0000-0C00-000005000000}" name="Package"/>
    <tableColumn id="6" xr3:uid="{00000000-0010-0000-0C00-000006000000}" name="Library Path"/>
    <tableColumn id="7" xr3:uid="{00000000-0010-0000-0C00-000007000000}" name="Library Ref"/>
    <tableColumn id="8" xr3:uid="{00000000-0010-0000-0C00-000008000000}" name="Footprint Path"/>
    <tableColumn id="9" xr3:uid="{00000000-0010-0000-0C00-000009000000}" name="Footprint Ref" dataDxfId="0"/>
    <tableColumn id="10" xr3:uid="{00000000-0010-0000-0C00-00000A000000}" name="UID"/>
    <tableColumn id="11" xr3:uid="{00000000-0010-0000-0C00-00000B000000}" name="PnP_Name"/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7000000}" name="LibraryTable8" displayName="LibraryTable8" ref="A1:K82" totalsRowShown="0">
  <autoFilter ref="A1:K82" xr:uid="{00000000-0009-0000-0100-000012000000}"/>
  <tableColumns count="11">
    <tableColumn id="1" xr3:uid="{00000000-0010-0000-0700-000001000000}" name="Part Number"/>
    <tableColumn id="2" xr3:uid="{00000000-0010-0000-0700-000002000000}" name="Description"/>
    <tableColumn id="3" xr3:uid="{00000000-0010-0000-0700-000003000000}" name="Manufacturer"/>
    <tableColumn id="4" xr3:uid="{00000000-0010-0000-0700-000004000000}" name="Package"/>
    <tableColumn id="5" xr3:uid="{00000000-0010-0000-0700-000005000000}" name="Type"/>
    <tableColumn id="6" xr3:uid="{00000000-0010-0000-0700-000006000000}" name="Library Path"/>
    <tableColumn id="7" xr3:uid="{00000000-0010-0000-0700-000007000000}" name="Library Ref"/>
    <tableColumn id="8" xr3:uid="{00000000-0010-0000-0700-000008000000}" name="Footprint Path"/>
    <tableColumn id="9" xr3:uid="{00000000-0010-0000-0700-000009000000}" name="Footprint Ref"/>
    <tableColumn id="10" xr3:uid="{00000000-0010-0000-0700-00000A000000}" name="UID"/>
    <tableColumn id="11" xr3:uid="{00000000-0010-0000-0700-00000B000000}" name="PnP_Name"/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8000000}" name="LibraryTable9" displayName="LibraryTable9" ref="A1:K26" totalsRowShown="0">
  <autoFilter ref="A1:K26" xr:uid="{00000000-0009-0000-0100-000013000000}"/>
  <tableColumns count="11">
    <tableColumn id="1" xr3:uid="{00000000-0010-0000-0800-000001000000}" name="Part Number"/>
    <tableColumn id="2" xr3:uid="{00000000-0010-0000-0800-000002000000}" name="Description"/>
    <tableColumn id="3" xr3:uid="{00000000-0010-0000-0800-000003000000}" name="Manufacturer"/>
    <tableColumn id="4" xr3:uid="{00000000-0010-0000-0800-000004000000}" name="Type"/>
    <tableColumn id="5" xr3:uid="{00000000-0010-0000-0800-000005000000}" name="FREQ"/>
    <tableColumn id="6" xr3:uid="{00000000-0010-0000-0800-000006000000}" name="Library Path"/>
    <tableColumn id="7" xr3:uid="{00000000-0010-0000-0800-000007000000}" name="Library Ref"/>
    <tableColumn id="8" xr3:uid="{00000000-0010-0000-0800-000008000000}" name="Footprint Path 1"/>
    <tableColumn id="9" xr3:uid="{00000000-0010-0000-0800-000009000000}" name="Footprint Ref 1"/>
    <tableColumn id="10" xr3:uid="{00000000-0010-0000-0800-00000A000000}" name="UID"/>
    <tableColumn id="11" xr3:uid="{00000000-0010-0000-0800-00000B000000}" name="PnP_name"/>
  </tableColumns>
  <tableStyleInfo name="TableStyleDark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LibraryTable10" displayName="LibraryTable10" ref="A1:L5" totalsRowShown="0">
  <autoFilter ref="A1:L5" xr:uid="{00000000-0009-0000-0100-000014000000}"/>
  <tableColumns count="12">
    <tableColumn id="1" xr3:uid="{00000000-0010-0000-0900-000001000000}" name="Part Number"/>
    <tableColumn id="2" xr3:uid="{00000000-0010-0000-0900-000002000000}" name="Description"/>
    <tableColumn id="3" xr3:uid="{00000000-0010-0000-0900-000003000000}" name="Manufacturer"/>
    <tableColumn id="4" xr3:uid="{00000000-0010-0000-0900-000004000000}" name="Type"/>
    <tableColumn id="5" xr3:uid="{00000000-0010-0000-0900-000005000000}" name="Library Path"/>
    <tableColumn id="6" xr3:uid="{00000000-0010-0000-0900-000006000000}" name="Library Ref"/>
    <tableColumn id="7" xr3:uid="{00000000-0010-0000-0900-000007000000}" name="Footprint Path 1"/>
    <tableColumn id="8" xr3:uid="{00000000-0010-0000-0900-000008000000}" name="Footprint Ref 1"/>
    <tableColumn id="9" xr3:uid="{00000000-0010-0000-0900-000009000000}" name="Footprint Path 2"/>
    <tableColumn id="10" xr3:uid="{00000000-0010-0000-0900-00000A000000}" name="Footprint Ref 2"/>
    <tableColumn id="11" xr3:uid="{00000000-0010-0000-0900-00000B000000}" name="UID"/>
    <tableColumn id="12" xr3:uid="{00000000-0010-0000-0900-00000C000000}" name="PnP_name"/>
  </tableColumns>
  <tableStyleInfo name="TableStyleDark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C0CEB-9F2A-4B60-80CC-73E86CD670F7}" name="LibraryTable102" displayName="LibraryTable102" ref="A1:J5" totalsRowShown="0" dataDxfId="28">
  <autoFilter ref="A1:J5" xr:uid="{C0BC0CEB-9F2A-4B60-80CC-73E86CD670F7}"/>
  <tableColumns count="10">
    <tableColumn id="1" xr3:uid="{CB3A1C79-1A89-482A-98FF-C41ABF55BEEF}" name="Part Number" dataDxfId="27"/>
    <tableColumn id="2" xr3:uid="{44955057-24B9-49CA-BBD9-66BEA7AAD0A1}" name="Description" dataDxfId="26"/>
    <tableColumn id="3" xr3:uid="{A6EE2855-F91F-40CE-97EC-03EB26F3DEBD}" name="Manufacturer" dataDxfId="25"/>
    <tableColumn id="13" xr3:uid="{7EBED3ED-A740-4E42-9A05-CF88E1F3F017}" name="Package" dataDxfId="24"/>
    <tableColumn id="5" xr3:uid="{47F69D43-3545-427E-9423-0D1EAE321315}" name="Library Path" dataDxfId="23"/>
    <tableColumn id="6" xr3:uid="{7AE79ED0-6335-4BAC-A922-B72C1B1C6B96}" name="Library Ref" dataDxfId="22"/>
    <tableColumn id="7" xr3:uid="{5ADB13E3-D81C-41FE-BA7D-F7CC76008BC2}" name="Footprint Path" dataDxfId="21"/>
    <tableColumn id="10" xr3:uid="{B53961E2-3E9A-4B9B-8A12-F92593621168}" name="Footprint Ref" dataDxfId="20">
      <calculatedColumnFormula>#REF!</calculatedColumnFormula>
    </tableColumn>
    <tableColumn id="11" xr3:uid="{8E7170F8-5D10-4576-8C4F-B02094A89A9D}" name="UID" dataDxfId="19">
      <calculatedColumnFormula>"D-"&amp;A2</calculatedColumnFormula>
    </tableColumn>
    <tableColumn id="12" xr3:uid="{8C1DF0AF-C246-4EB5-9593-108B0C427AFA}" name="PnP_name" dataDxfId="18">
      <calculatedColumnFormula>I2</calculatedColumnFormula>
    </tableColumn>
  </tableColumns>
  <tableStyleInfo name="TableStyleDark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LibraryTable11" displayName="LibraryTable11" ref="A1:J22" totalsRowShown="0">
  <autoFilter ref="A1:J22" xr:uid="{00000000-0009-0000-0100-000015000000}"/>
  <tableColumns count="10">
    <tableColumn id="1" xr3:uid="{00000000-0010-0000-0A00-000001000000}" name="Part Number"/>
    <tableColumn id="2" xr3:uid="{00000000-0010-0000-0A00-000002000000}" name="Description"/>
    <tableColumn id="3" xr3:uid="{00000000-0010-0000-0A00-000003000000}" name="Manufacturer"/>
    <tableColumn id="4" xr3:uid="{00000000-0010-0000-0A00-000004000000}" name="Package"/>
    <tableColumn id="5" xr3:uid="{00000000-0010-0000-0A00-000005000000}" name="Library Path"/>
    <tableColumn id="6" xr3:uid="{00000000-0010-0000-0A00-000006000000}" name="Library Ref"/>
    <tableColumn id="7" xr3:uid="{00000000-0010-0000-0A00-000007000000}" name="Footprint Path"/>
    <tableColumn id="8" xr3:uid="{00000000-0010-0000-0A00-000008000000}" name="Footprint Ref"/>
    <tableColumn id="9" xr3:uid="{00000000-0010-0000-0A00-000009000000}" name="UID"/>
    <tableColumn id="10" xr3:uid="{00000000-0010-0000-0A00-00000A000000}" name="PnP_Name"/>
  </tableColumns>
  <tableStyleInfo name="TableStyleDark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D000000}" name="LibraryTable14" displayName="LibraryTable14" ref="A1:J2" totalsRowShown="0">
  <autoFilter ref="A1:J2" xr:uid="{00000000-0009-0000-0100-000018000000}"/>
  <tableColumns count="10">
    <tableColumn id="1" xr3:uid="{00000000-0010-0000-0D00-000001000000}" name="Part Number"/>
    <tableColumn id="2" xr3:uid="{00000000-0010-0000-0D00-000002000000}" name="Description"/>
    <tableColumn id="3" xr3:uid="{00000000-0010-0000-0D00-000003000000}" name="Manufacturer"/>
    <tableColumn id="4" xr3:uid="{00000000-0010-0000-0D00-000004000000}" name="Package"/>
    <tableColumn id="5" xr3:uid="{00000000-0010-0000-0D00-000005000000}" name="Library Path"/>
    <tableColumn id="6" xr3:uid="{00000000-0010-0000-0D00-000006000000}" name="Library Ref"/>
    <tableColumn id="7" xr3:uid="{00000000-0010-0000-0D00-000007000000}" name="Footprint Path"/>
    <tableColumn id="8" xr3:uid="{00000000-0010-0000-0D00-000008000000}" name="Footprint Ref"/>
    <tableColumn id="9" xr3:uid="{00000000-0010-0000-0D00-000009000000}" name="UID"/>
    <tableColumn id="10" xr3:uid="{00000000-0010-0000-0D00-00000A000000}" name="PnP_Name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showGridLines="0" topLeftCell="B13" zoomScale="85" zoomScaleNormal="85" workbookViewId="0">
      <selection activeCell="L50" sqref="L50"/>
    </sheetView>
  </sheetViews>
  <sheetFormatPr defaultColWidth="11.125" defaultRowHeight="15.75" x14ac:dyDescent="0.25"/>
  <cols>
    <col min="1" max="1" width="44.25" style="40" customWidth="1"/>
    <col min="2" max="2" width="66" style="40" customWidth="1"/>
    <col min="3" max="3" width="24" style="40" customWidth="1"/>
    <col min="4" max="4" width="9.5" style="40" customWidth="1"/>
    <col min="5" max="5" width="7.625" style="40" customWidth="1"/>
    <col min="6" max="6" width="11.125" style="40" customWidth="1"/>
    <col min="7" max="7" width="15.875" style="40" customWidth="1"/>
    <col min="8" max="8" width="10.75" style="40" customWidth="1"/>
    <col min="9" max="9" width="9" style="40" customWidth="1"/>
    <col min="10" max="10" width="24.875" style="40" customWidth="1"/>
    <col min="11" max="11" width="16.875" style="40" customWidth="1"/>
    <col min="12" max="12" width="26.375" style="40" customWidth="1"/>
    <col min="13" max="13" width="14.75" style="40" customWidth="1"/>
    <col min="14" max="14" width="26.375" style="40" customWidth="1"/>
    <col min="15" max="15" width="34.25" style="40" customWidth="1"/>
    <col min="16" max="16" width="22.5" style="40" customWidth="1"/>
    <col min="17" max="17" width="23.5" style="40" customWidth="1"/>
    <col min="18" max="16384" width="11.125" style="40"/>
  </cols>
  <sheetData>
    <row r="1" spans="1:15" ht="20.100000000000001" customHeight="1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15</v>
      </c>
      <c r="O1" s="40" t="s">
        <v>16</v>
      </c>
    </row>
    <row r="2" spans="1:15" ht="20.100000000000001" customHeight="1" x14ac:dyDescent="0.25">
      <c r="A2" s="41" t="s">
        <v>17</v>
      </c>
      <c r="B2" s="40" t="s">
        <v>18</v>
      </c>
      <c r="C2" s="41" t="s">
        <v>630</v>
      </c>
      <c r="D2" s="40" t="s">
        <v>19</v>
      </c>
      <c r="E2" s="41" t="s">
        <v>20</v>
      </c>
      <c r="F2" s="40">
        <v>50</v>
      </c>
      <c r="G2" s="41" t="s">
        <v>21</v>
      </c>
      <c r="H2" s="41" t="s">
        <v>22</v>
      </c>
      <c r="I2" s="41" t="s">
        <v>23</v>
      </c>
      <c r="J2" s="40" t="s">
        <v>24</v>
      </c>
      <c r="K2" s="40" t="s">
        <v>25</v>
      </c>
      <c r="L2" s="40" t="s">
        <v>26</v>
      </c>
      <c r="M2" s="40" t="str">
        <f t="shared" ref="M2:M43" si="0">"C"&amp;D2</f>
        <v>C0402</v>
      </c>
      <c r="N2" s="40" t="str">
        <f>"C-"&amp;D2&amp;"-"&amp;G2&amp;"-"&amp;F2&amp;"-"&amp;E2&amp;" "&amp;IF(H2="±0,03","A",IF(H2="±0,1","B",IF(H2="±0,25","C",IF(H2="±0,5","D",IF(H2="±1%","F",IF(H2="±2%","G",IF(H2="±5%","J",IF(H2="±10%","K",IF(H2="±20%","M","")))))))))</f>
        <v>C-0402-NP0-50-0.01uF J</v>
      </c>
      <c r="O2" s="40" t="str">
        <f t="shared" ref="O2:O41" si="1">N2</f>
        <v>C-0402-NP0-50-0.01uF J</v>
      </c>
    </row>
    <row r="3" spans="1:15" ht="20.100000000000001" customHeight="1" x14ac:dyDescent="0.25">
      <c r="A3" s="40" t="s">
        <v>27</v>
      </c>
      <c r="B3" s="40" t="s">
        <v>28</v>
      </c>
      <c r="C3" s="41" t="s">
        <v>630</v>
      </c>
      <c r="D3" s="40" t="s">
        <v>19</v>
      </c>
      <c r="E3" s="41" t="s">
        <v>29</v>
      </c>
      <c r="F3" s="40">
        <v>16</v>
      </c>
      <c r="G3" s="41" t="s">
        <v>30</v>
      </c>
      <c r="H3" s="41" t="s">
        <v>31</v>
      </c>
      <c r="I3" s="41" t="s">
        <v>23</v>
      </c>
      <c r="J3" s="40" t="s">
        <v>24</v>
      </c>
      <c r="K3" s="40" t="s">
        <v>25</v>
      </c>
      <c r="L3" s="40" t="s">
        <v>26</v>
      </c>
      <c r="M3" s="40" t="str">
        <f t="shared" si="0"/>
        <v>C0402</v>
      </c>
      <c r="N3" s="40" t="str">
        <f>"C-"&amp;D3&amp;"-"&amp;G3&amp;"-"&amp;F3&amp;"-"&amp;E3&amp;" "&amp;IF(H3="±0,03","A",IF(H3="±0,1","B",IF(H3="±0,25","C",IF(H3="±0,5","D",IF(H3="±1%","F",IF(H3="±2%","G",IF(H3="±5%","J",IF(H3="±10%","K",IF(H3="±20%","M","")))))))))</f>
        <v>C-0402-X7R-16-0.068uF M</v>
      </c>
      <c r="O3" s="40" t="str">
        <f t="shared" si="1"/>
        <v>C-0402-X7R-16-0.068uF M</v>
      </c>
    </row>
    <row r="4" spans="1:15" ht="20.100000000000001" customHeight="1" x14ac:dyDescent="0.25">
      <c r="A4" s="40" t="s">
        <v>32</v>
      </c>
      <c r="B4" s="40" t="s">
        <v>1298</v>
      </c>
      <c r="C4" s="41" t="s">
        <v>630</v>
      </c>
      <c r="D4" s="40" t="s">
        <v>19</v>
      </c>
      <c r="E4" s="41" t="s">
        <v>33</v>
      </c>
      <c r="F4" s="41">
        <v>16</v>
      </c>
      <c r="G4" s="41" t="s">
        <v>30</v>
      </c>
      <c r="H4" s="41" t="s">
        <v>34</v>
      </c>
      <c r="I4" s="41" t="s">
        <v>23</v>
      </c>
      <c r="J4" s="40" t="s">
        <v>24</v>
      </c>
      <c r="K4" s="40" t="s">
        <v>25</v>
      </c>
      <c r="L4" s="40" t="s">
        <v>26</v>
      </c>
      <c r="M4" s="40" t="str">
        <f t="shared" si="0"/>
        <v>C0402</v>
      </c>
      <c r="N4" s="40" t="str">
        <f>"C-"&amp;D4&amp;"-"&amp;G4&amp;"-"&amp;F4&amp;"-"&amp;E4&amp;" "&amp;IF(H4="±0,03","A",IF(H4="±0,1","B",IF(H4="±0,25","C",IF(H4="±0,5","D",IF(H4="±1%","F",IF(H4="±2%","G",IF(H4="±5%","J",IF(H4="±10%","K",IF(H4="±20%","M","")))))))))</f>
        <v>C-0402-X7R-16-0.1uF K</v>
      </c>
      <c r="O4" s="40" t="str">
        <f t="shared" si="1"/>
        <v>C-0402-X7R-16-0.1uF K</v>
      </c>
    </row>
    <row r="5" spans="1:15" ht="20.100000000000001" customHeight="1" x14ac:dyDescent="0.25">
      <c r="A5" s="40" t="s">
        <v>35</v>
      </c>
      <c r="B5" s="40" t="s">
        <v>36</v>
      </c>
      <c r="C5" s="41" t="s">
        <v>630</v>
      </c>
      <c r="D5" s="40" t="s">
        <v>19</v>
      </c>
      <c r="E5" s="40" t="s">
        <v>33</v>
      </c>
      <c r="F5" s="40">
        <v>50</v>
      </c>
      <c r="G5" s="40" t="s">
        <v>37</v>
      </c>
      <c r="H5" s="41" t="s">
        <v>34</v>
      </c>
      <c r="I5" s="40" t="s">
        <v>23</v>
      </c>
      <c r="J5" s="40" t="s">
        <v>24</v>
      </c>
      <c r="K5" s="40" t="s">
        <v>25</v>
      </c>
      <c r="L5" s="40" t="s">
        <v>26</v>
      </c>
      <c r="M5" s="40" t="str">
        <f t="shared" si="0"/>
        <v>C0402</v>
      </c>
      <c r="N5" s="40" t="str">
        <f>"C-"&amp;D5&amp;"-"&amp;G5&amp;"-"&amp;F5&amp;"-"&amp;E5&amp;" "&amp;IF(H5="±0,03","A",IF(H5="±0,1","B",IF(H5="±0,25","C",IF(H5="±0,5","D",IF(H5="±1%","F",IF(H5="±2%","G",IF(H5="±5%","J",IF(H5="±10%","K",IF(H5="±20%","M","")))))))))</f>
        <v>C-0402-X5R-50-0.1uF K</v>
      </c>
      <c r="O5" s="40" t="str">
        <f t="shared" si="1"/>
        <v>C-0402-X5R-50-0.1uF K</v>
      </c>
    </row>
    <row r="6" spans="1:15" ht="20.100000000000001" customHeight="1" x14ac:dyDescent="0.25">
      <c r="A6" s="40" t="s">
        <v>38</v>
      </c>
      <c r="B6" s="40" t="s">
        <v>39</v>
      </c>
      <c r="C6" s="41" t="s">
        <v>630</v>
      </c>
      <c r="D6" s="40" t="s">
        <v>19</v>
      </c>
      <c r="E6" s="41" t="s">
        <v>33</v>
      </c>
      <c r="F6" s="40">
        <v>16</v>
      </c>
      <c r="G6" s="41" t="s">
        <v>37</v>
      </c>
      <c r="H6" s="41" t="s">
        <v>34</v>
      </c>
      <c r="I6" s="41" t="s">
        <v>23</v>
      </c>
      <c r="J6" s="40" t="s">
        <v>24</v>
      </c>
      <c r="K6" s="40" t="s">
        <v>25</v>
      </c>
      <c r="L6" s="40" t="s">
        <v>26</v>
      </c>
      <c r="M6" s="40" t="str">
        <f t="shared" si="0"/>
        <v>C0402</v>
      </c>
      <c r="N6" s="40" t="str">
        <f>"C-"&amp;D6&amp;"-"&amp;G6&amp;"-"&amp;F6&amp;"-"&amp;E6&amp;" "&amp;IF(H6="±0,03","A",IF(H6="±0,1","B",IF(H6="±0,25","C",IF(H6="±0,5","D",IF(H6="±1%","F",IF(H6="±2%","G",IF(H6="±5%","J",IF(H6="±10%","K",IF(H6="±20%","M","")))))))))</f>
        <v>C-0402-X5R-16-0.1uF K</v>
      </c>
      <c r="O6" s="40" t="str">
        <f t="shared" si="1"/>
        <v>C-0402-X5R-16-0.1uF K</v>
      </c>
    </row>
    <row r="7" spans="1:15" ht="20.100000000000001" customHeight="1" x14ac:dyDescent="0.25">
      <c r="A7" s="40" t="s">
        <v>40</v>
      </c>
      <c r="B7" s="40" t="s">
        <v>41</v>
      </c>
      <c r="C7" s="41" t="s">
        <v>630</v>
      </c>
      <c r="D7" s="40" t="s">
        <v>19</v>
      </c>
      <c r="E7" s="41" t="s">
        <v>42</v>
      </c>
      <c r="F7" s="40">
        <v>16</v>
      </c>
      <c r="G7" s="41" t="s">
        <v>37</v>
      </c>
      <c r="H7" s="41" t="s">
        <v>31</v>
      </c>
      <c r="I7" s="41" t="s">
        <v>23</v>
      </c>
      <c r="J7" s="40" t="s">
        <v>24</v>
      </c>
      <c r="K7" s="40" t="s">
        <v>25</v>
      </c>
      <c r="L7" s="40" t="s">
        <v>26</v>
      </c>
      <c r="M7" s="40" t="str">
        <f t="shared" si="0"/>
        <v>C0402</v>
      </c>
      <c r="N7" s="40" t="str">
        <f>"C-"&amp;D7&amp;"-"&amp;G7&amp;"-"&amp;F7&amp;"-"&amp;E7&amp;" "&amp;IF(H7="±0,03","A",IF(H7="±0,1","B",IF(H7="±0,25","C",IF(H7="±0,5","D",IF(H7="±1%","F",IF(H7="±2%","G",IF(H7="±5%","J",IF(H7="±10%","K",IF(H7="±20%","M","")))))))))</f>
        <v>C-0402-X5R-16-0.22uF M</v>
      </c>
      <c r="O7" s="40" t="str">
        <f t="shared" si="1"/>
        <v>C-0402-X5R-16-0.22uF M</v>
      </c>
    </row>
    <row r="8" spans="1:15" ht="20.100000000000001" customHeight="1" x14ac:dyDescent="0.25">
      <c r="A8" s="40" t="s">
        <v>43</v>
      </c>
      <c r="B8" s="40" t="s">
        <v>44</v>
      </c>
      <c r="C8" s="40" t="s">
        <v>45</v>
      </c>
      <c r="D8" s="40">
        <v>2220</v>
      </c>
      <c r="E8" s="41" t="s">
        <v>46</v>
      </c>
      <c r="F8" s="40">
        <v>50</v>
      </c>
      <c r="G8" s="41" t="s">
        <v>21</v>
      </c>
      <c r="H8" s="41" t="s">
        <v>22</v>
      </c>
      <c r="I8" s="41" t="s">
        <v>23</v>
      </c>
      <c r="J8" s="40" t="s">
        <v>24</v>
      </c>
      <c r="K8" s="40" t="s">
        <v>25</v>
      </c>
      <c r="L8" s="40" t="s">
        <v>26</v>
      </c>
      <c r="M8" s="40" t="str">
        <f t="shared" si="0"/>
        <v>C2220</v>
      </c>
      <c r="N8" s="40" t="str">
        <f>"C-"&amp;D8&amp;"-"&amp;G8&amp;"-"&amp;F8&amp;"-"&amp;E8&amp;" "&amp;IF(H8="±0,03","A",IF(H8="±0,1","B",IF(H8="±0,25","C",IF(H8="±0,5","D",IF(H8="±1%","F",IF(H8="±2%","G",IF(H8="±5%","J",IF(H8="±10%","K",IF(H8="±20%","M","")))))))))</f>
        <v>C-2220-NP0-50-0.47uF J</v>
      </c>
      <c r="O8" s="40" t="str">
        <f t="shared" si="1"/>
        <v>C-2220-NP0-50-0.47uF J</v>
      </c>
    </row>
    <row r="9" spans="1:15" ht="20.100000000000001" customHeight="1" x14ac:dyDescent="0.25">
      <c r="A9" s="40" t="s">
        <v>47</v>
      </c>
      <c r="B9" s="40" t="s">
        <v>41</v>
      </c>
      <c r="C9" s="41" t="s">
        <v>630</v>
      </c>
      <c r="D9" s="40" t="s">
        <v>19</v>
      </c>
      <c r="E9" s="41" t="s">
        <v>46</v>
      </c>
      <c r="F9" s="40">
        <v>16</v>
      </c>
      <c r="G9" s="41" t="s">
        <v>37</v>
      </c>
      <c r="H9" s="41" t="s">
        <v>31</v>
      </c>
      <c r="I9" s="41" t="s">
        <v>23</v>
      </c>
      <c r="J9" s="40" t="s">
        <v>24</v>
      </c>
      <c r="K9" s="40" t="s">
        <v>25</v>
      </c>
      <c r="L9" s="40" t="s">
        <v>26</v>
      </c>
      <c r="M9" s="40" t="str">
        <f t="shared" si="0"/>
        <v>C0402</v>
      </c>
      <c r="N9" s="40" t="str">
        <f>"C-"&amp;D9&amp;"-"&amp;G9&amp;"-"&amp;F9&amp;"-"&amp;E9&amp;" "&amp;IF(H9="±0,03","A",IF(H9="±0,1","B",IF(H9="±0,25","C",IF(H9="±0,5","D",IF(H9="±1%","F",IF(H9="±2%","G",IF(H9="±5%","J",IF(H9="±10%","K",IF(H9="±20%","M","")))))))))</f>
        <v>C-0402-X5R-16-0.47uF M</v>
      </c>
      <c r="O9" s="40" t="str">
        <f t="shared" si="1"/>
        <v>C-0402-X5R-16-0.47uF M</v>
      </c>
    </row>
    <row r="10" spans="1:15" ht="20.100000000000001" customHeight="1" x14ac:dyDescent="0.25">
      <c r="A10" s="40" t="s">
        <v>48</v>
      </c>
      <c r="B10" s="40" t="s">
        <v>49</v>
      </c>
      <c r="C10" s="41" t="s">
        <v>630</v>
      </c>
      <c r="D10" s="40" t="s">
        <v>19</v>
      </c>
      <c r="E10" s="41" t="s">
        <v>50</v>
      </c>
      <c r="F10" s="41">
        <v>50</v>
      </c>
      <c r="G10" s="41" t="s">
        <v>21</v>
      </c>
      <c r="H10" s="41" t="s">
        <v>22</v>
      </c>
      <c r="I10" s="41" t="s">
        <v>23</v>
      </c>
      <c r="J10" s="40" t="s">
        <v>24</v>
      </c>
      <c r="K10" s="40" t="s">
        <v>25</v>
      </c>
      <c r="L10" s="40" t="s">
        <v>26</v>
      </c>
      <c r="M10" s="40" t="str">
        <f t="shared" si="0"/>
        <v>C0402</v>
      </c>
      <c r="N10" s="40" t="str">
        <f>"C-"&amp;D10&amp;"-"&amp;G10&amp;"-"&amp;F10&amp;"-"&amp;E10&amp;" "&amp;IF(H10="±0,03","A",IF(H10="±0,1","B",IF(H10="±0,25","C",IF(H10="±0,5","D",IF(H10="±1%","F",IF(H10="±2%","G",IF(H10="±5%","J",IF(H10="±10%","K",IF(H10="±20%","M","")))))))))</f>
        <v>C-0402-NP0-50-1000pF J</v>
      </c>
      <c r="O10" s="40" t="str">
        <f t="shared" si="1"/>
        <v>C-0402-NP0-50-1000pF J</v>
      </c>
    </row>
    <row r="11" spans="1:15" ht="20.100000000000001" customHeight="1" x14ac:dyDescent="0.25">
      <c r="A11" s="40" t="s">
        <v>51</v>
      </c>
      <c r="B11" s="40" t="s">
        <v>52</v>
      </c>
      <c r="C11" s="41" t="s">
        <v>630</v>
      </c>
      <c r="D11" s="40" t="s">
        <v>19</v>
      </c>
      <c r="E11" s="40" t="s">
        <v>53</v>
      </c>
      <c r="F11" s="40">
        <v>50</v>
      </c>
      <c r="G11" s="41" t="s">
        <v>21</v>
      </c>
      <c r="H11" s="41" t="s">
        <v>54</v>
      </c>
      <c r="I11" s="41" t="s">
        <v>23</v>
      </c>
      <c r="J11" s="40" t="s">
        <v>24</v>
      </c>
      <c r="K11" s="40" t="s">
        <v>25</v>
      </c>
      <c r="L11" s="40" t="s">
        <v>26</v>
      </c>
      <c r="M11" s="40" t="str">
        <f t="shared" si="0"/>
        <v>C0402</v>
      </c>
      <c r="N11" s="40" t="str">
        <f>"C-"&amp;D11&amp;"-"&amp;G11&amp;"-"&amp;F11&amp;"-"&amp;E11&amp;" "&amp;IF(H11="±0,03","A",IF(H11="±0,1","B",IF(H11="±0,25","C",IF(H11="±0,5","D",IF(H11="±1%","F",IF(H11="±2%","G",IF(H11="±5%","J",IF(H11="±10%","K",IF(H11="±20%","M","")))))))))</f>
        <v>C-0402-NP0-50-100pF G</v>
      </c>
      <c r="O11" s="40" t="str">
        <f t="shared" si="1"/>
        <v>C-0402-NP0-50-100pF G</v>
      </c>
    </row>
    <row r="12" spans="1:15" ht="20.100000000000001" customHeight="1" x14ac:dyDescent="0.25">
      <c r="A12" s="40" t="s">
        <v>55</v>
      </c>
      <c r="B12" s="40" t="s">
        <v>56</v>
      </c>
      <c r="C12" s="41" t="s">
        <v>630</v>
      </c>
      <c r="D12" s="40" t="s">
        <v>19</v>
      </c>
      <c r="E12" s="41" t="s">
        <v>57</v>
      </c>
      <c r="F12" s="40">
        <v>50</v>
      </c>
      <c r="G12" s="41" t="s">
        <v>21</v>
      </c>
      <c r="H12" s="41" t="s">
        <v>22</v>
      </c>
      <c r="I12" s="41" t="s">
        <v>23</v>
      </c>
      <c r="J12" s="40" t="s">
        <v>24</v>
      </c>
      <c r="K12" s="40" t="s">
        <v>25</v>
      </c>
      <c r="L12" s="40" t="s">
        <v>26</v>
      </c>
      <c r="M12" s="40" t="str">
        <f t="shared" si="0"/>
        <v>C0402</v>
      </c>
      <c r="N12" s="40" t="str">
        <f>"C-"&amp;D12&amp;"-"&amp;G12&amp;"-"&amp;F12&amp;"-"&amp;E12&amp;" "&amp;IF(H12="±0,03","A",IF(H12="±0,1","B",IF(H12="±0,25","C",IF(H12="±0,5","D",IF(H12="±1%","F",IF(H12="±2%","G",IF(H12="±5%","J",IF(H12="±10%","K",IF(H12="±20%","M","")))))))))</f>
        <v>C-0402-NP0-50-10pF J</v>
      </c>
      <c r="O12" s="40" t="str">
        <f t="shared" si="1"/>
        <v>C-0402-NP0-50-10pF J</v>
      </c>
    </row>
    <row r="13" spans="1:15" ht="20.100000000000001" customHeight="1" x14ac:dyDescent="0.25">
      <c r="A13" s="40" t="s">
        <v>58</v>
      </c>
      <c r="B13" s="40" t="s">
        <v>59</v>
      </c>
      <c r="C13" s="41" t="s">
        <v>630</v>
      </c>
      <c r="D13" s="40" t="s">
        <v>60</v>
      </c>
      <c r="E13" s="40" t="s">
        <v>61</v>
      </c>
      <c r="F13" s="40">
        <v>50</v>
      </c>
      <c r="G13" s="40" t="s">
        <v>37</v>
      </c>
      <c r="H13" s="41" t="s">
        <v>34</v>
      </c>
      <c r="I13" s="41" t="s">
        <v>23</v>
      </c>
      <c r="J13" s="40" t="s">
        <v>24</v>
      </c>
      <c r="K13" s="40" t="s">
        <v>25</v>
      </c>
      <c r="L13" s="40" t="s">
        <v>26</v>
      </c>
      <c r="M13" s="40" t="str">
        <f t="shared" si="0"/>
        <v>C0805</v>
      </c>
      <c r="N13" s="40" t="str">
        <f>"C-"&amp;D13&amp;"-"&amp;G13&amp;"-"&amp;F13&amp;"-"&amp;E13&amp;" "&amp;IF(H13="±0,03","A",IF(H13="±0,1","B",IF(H13="±0,25","C",IF(H13="±0,5","D",IF(H13="±1%","F",IF(H13="±2%","G",IF(H13="±5%","J",IF(H13="±10%","K",IF(H13="±20%","M","")))))))))</f>
        <v>C-0805-X5R-50-10uF K</v>
      </c>
      <c r="O13" s="40" t="str">
        <f t="shared" si="1"/>
        <v>C-0805-X5R-50-10uF K</v>
      </c>
    </row>
    <row r="14" spans="1:15" ht="20.100000000000001" customHeight="1" x14ac:dyDescent="0.25">
      <c r="A14" s="40" t="s">
        <v>62</v>
      </c>
      <c r="B14" s="40" t="s">
        <v>63</v>
      </c>
      <c r="C14" s="40" t="s">
        <v>45</v>
      </c>
      <c r="D14" s="40">
        <v>1206</v>
      </c>
      <c r="E14" s="40" t="s">
        <v>61</v>
      </c>
      <c r="F14" s="40">
        <v>10</v>
      </c>
      <c r="I14" s="41" t="s">
        <v>1299</v>
      </c>
      <c r="J14" s="40" t="s">
        <v>24</v>
      </c>
      <c r="K14" s="40" t="s">
        <v>64</v>
      </c>
      <c r="L14" s="40" t="s">
        <v>26</v>
      </c>
      <c r="M14" s="40" t="str">
        <f t="shared" si="0"/>
        <v>C1206</v>
      </c>
      <c r="N14" s="40" t="s">
        <v>65</v>
      </c>
      <c r="O14" s="40" t="str">
        <f t="shared" si="1"/>
        <v>C-A-10-10uF K</v>
      </c>
    </row>
    <row r="15" spans="1:15" ht="20.100000000000001" customHeight="1" x14ac:dyDescent="0.25">
      <c r="A15" s="40" t="s">
        <v>66</v>
      </c>
      <c r="B15" s="40" t="s">
        <v>67</v>
      </c>
      <c r="C15" s="41" t="s">
        <v>630</v>
      </c>
      <c r="D15" s="40" t="s">
        <v>19</v>
      </c>
      <c r="E15" s="40" t="s">
        <v>61</v>
      </c>
      <c r="F15" s="42" t="s">
        <v>68</v>
      </c>
      <c r="G15" s="41" t="s">
        <v>37</v>
      </c>
      <c r="H15" s="41" t="s">
        <v>31</v>
      </c>
      <c r="I15" s="41" t="s">
        <v>23</v>
      </c>
      <c r="J15" s="40" t="s">
        <v>24</v>
      </c>
      <c r="K15" s="40" t="s">
        <v>25</v>
      </c>
      <c r="L15" s="40" t="s">
        <v>26</v>
      </c>
      <c r="M15" s="40" t="str">
        <f t="shared" si="0"/>
        <v>C0402</v>
      </c>
      <c r="N15" s="40" t="str">
        <f>"C-"&amp;D15&amp;"-"&amp;G15&amp;"-"&amp;F15&amp;"-"&amp;E15&amp;" "&amp;IF(H15="±0,03","A",IF(H15="±0,1","B",IF(H15="±0,25","C",IF(H15="±0,5","D",IF(H15="±1%","F",IF(H15="±2%","G",IF(H15="±5%","J",IF(H15="±10%","K",IF(H15="±20%","M","")))))))))</f>
        <v>C-0402-X5R-6.3-10uF M</v>
      </c>
      <c r="O15" s="40" t="str">
        <f t="shared" si="1"/>
        <v>C-0402-X5R-6.3-10uF M</v>
      </c>
    </row>
    <row r="16" spans="1:15" ht="20.100000000000001" customHeight="1" x14ac:dyDescent="0.25">
      <c r="A16" s="40" t="s">
        <v>69</v>
      </c>
      <c r="B16" s="40" t="s">
        <v>70</v>
      </c>
      <c r="C16" s="41" t="s">
        <v>630</v>
      </c>
      <c r="D16" s="40" t="s">
        <v>19</v>
      </c>
      <c r="E16" s="41" t="s">
        <v>71</v>
      </c>
      <c r="F16" s="40">
        <v>50</v>
      </c>
      <c r="G16" s="40" t="s">
        <v>30</v>
      </c>
      <c r="H16" s="41" t="s">
        <v>22</v>
      </c>
      <c r="I16" s="41" t="s">
        <v>23</v>
      </c>
      <c r="J16" s="40" t="s">
        <v>24</v>
      </c>
      <c r="K16" s="40" t="s">
        <v>25</v>
      </c>
      <c r="L16" s="40" t="s">
        <v>26</v>
      </c>
      <c r="M16" s="40" t="str">
        <f t="shared" si="0"/>
        <v>C0402</v>
      </c>
      <c r="N16" s="40" t="str">
        <f>"C-"&amp;D16&amp;"-"&amp;G16&amp;"-"&amp;F16&amp;"-"&amp;E16&amp;" "&amp;IF(H16="±0,03","A",IF(H16="±0,1","B",IF(H16="±0,25","C",IF(H16="±0,5","D",IF(H16="±1%","F",IF(H16="±2%","G",IF(H16="±5%","J",IF(H16="±10%","K",IF(H16="±20%","M","")))))))))</f>
        <v>C-0402-X7R-50-1500pF J</v>
      </c>
      <c r="O16" s="40" t="str">
        <f t="shared" si="1"/>
        <v>C-0402-X7R-50-1500pF J</v>
      </c>
    </row>
    <row r="17" spans="1:15" ht="20.100000000000001" customHeight="1" x14ac:dyDescent="0.25">
      <c r="A17" s="40" t="s">
        <v>72</v>
      </c>
      <c r="B17" s="40" t="s">
        <v>73</v>
      </c>
      <c r="C17" s="41" t="s">
        <v>630</v>
      </c>
      <c r="D17" s="40" t="s">
        <v>19</v>
      </c>
      <c r="E17" s="41" t="s">
        <v>74</v>
      </c>
      <c r="F17" s="40">
        <v>25</v>
      </c>
      <c r="G17" s="41" t="s">
        <v>30</v>
      </c>
      <c r="H17" s="41" t="s">
        <v>34</v>
      </c>
      <c r="I17" s="41" t="s">
        <v>23</v>
      </c>
      <c r="J17" s="40" t="s">
        <v>24</v>
      </c>
      <c r="K17" s="40" t="s">
        <v>25</v>
      </c>
      <c r="L17" s="40" t="s">
        <v>26</v>
      </c>
      <c r="M17" s="40" t="str">
        <f t="shared" si="0"/>
        <v>C0402</v>
      </c>
      <c r="N17" s="40" t="str">
        <f>"C-"&amp;D17&amp;"-"&amp;G17&amp;"-"&amp;F17&amp;"-"&amp;E17&amp;" "&amp;IF(H17="±0,03","A",IF(H17="±0,1","B",IF(H17="±0,25","C",IF(H17="±0,5","D",IF(H17="±1%","F",IF(H17="±2%","G",IF(H17="±5%","J",IF(H17="±10%","K",IF(H17="±20%","M","")))))))))</f>
        <v>C-0402-X7R-25-1800pF K</v>
      </c>
      <c r="O17" s="40" t="str">
        <f t="shared" si="1"/>
        <v>C-0402-X7R-25-1800pF K</v>
      </c>
    </row>
    <row r="18" spans="1:15" ht="20.100000000000001" customHeight="1" x14ac:dyDescent="0.25">
      <c r="A18" s="40" t="s">
        <v>75</v>
      </c>
      <c r="B18" s="40" t="s">
        <v>76</v>
      </c>
      <c r="C18" s="41" t="s">
        <v>630</v>
      </c>
      <c r="D18" s="40" t="s">
        <v>19</v>
      </c>
      <c r="E18" s="41" t="s">
        <v>77</v>
      </c>
      <c r="F18" s="40">
        <v>25</v>
      </c>
      <c r="G18" s="41" t="s">
        <v>37</v>
      </c>
      <c r="H18" s="41" t="s">
        <v>31</v>
      </c>
      <c r="I18" s="41" t="s">
        <v>23</v>
      </c>
      <c r="J18" s="40" t="s">
        <v>24</v>
      </c>
      <c r="K18" s="40" t="s">
        <v>25</v>
      </c>
      <c r="L18" s="40" t="s">
        <v>26</v>
      </c>
      <c r="M18" s="40" t="str">
        <f t="shared" si="0"/>
        <v>C0402</v>
      </c>
      <c r="N18" s="40" t="str">
        <f>"C-"&amp;D18&amp;"-"&amp;G18&amp;"-"&amp;F18&amp;"-"&amp;E18&amp;" "&amp;IF(H18="±0,03","A",IF(H18="±0,1","B",IF(H18="±0,25","C",IF(H18="±0,5","D",IF(H18="±1%","F",IF(H18="±2%","G",IF(H18="±5%","J",IF(H18="±10%","K",IF(H18="±20%","M","")))))))))</f>
        <v>C-0402-X5R-25-1uF M</v>
      </c>
      <c r="O18" s="40" t="str">
        <f t="shared" si="1"/>
        <v>C-0402-X5R-25-1uF M</v>
      </c>
    </row>
    <row r="19" spans="1:15" ht="20.100000000000001" customHeight="1" x14ac:dyDescent="0.25">
      <c r="A19" s="40" t="s">
        <v>78</v>
      </c>
      <c r="B19" s="40" t="s">
        <v>79</v>
      </c>
      <c r="C19" s="41" t="s">
        <v>630</v>
      </c>
      <c r="D19" s="40" t="s">
        <v>19</v>
      </c>
      <c r="E19" s="41" t="s">
        <v>80</v>
      </c>
      <c r="F19" s="40">
        <v>50</v>
      </c>
      <c r="G19" s="41" t="s">
        <v>30</v>
      </c>
      <c r="H19" s="41" t="s">
        <v>34</v>
      </c>
      <c r="I19" s="41" t="s">
        <v>23</v>
      </c>
      <c r="J19" s="40" t="s">
        <v>24</v>
      </c>
      <c r="K19" s="40" t="s">
        <v>25</v>
      </c>
      <c r="L19" s="40" t="s">
        <v>26</v>
      </c>
      <c r="M19" s="40" t="str">
        <f t="shared" si="0"/>
        <v>C0402</v>
      </c>
      <c r="N19" s="40" t="str">
        <f>"C-"&amp;D19&amp;"-"&amp;G19&amp;"-"&amp;F19&amp;"-"&amp;E19&amp;" "&amp;IF(H19="±0,03","A",IF(H19="±0,1","B",IF(H19="±0,25","C",IF(H19="±0,5","D",IF(H19="±1%","F",IF(H19="±2%","G",IF(H19="±5%","J",IF(H19="±10%","K",IF(H19="±20%","M","")))))))))</f>
        <v>C-0402-X7R-50-2200pF K</v>
      </c>
      <c r="O19" s="40" t="str">
        <f t="shared" si="1"/>
        <v>C-0402-X7R-50-2200pF K</v>
      </c>
    </row>
    <row r="20" spans="1:15" ht="20.100000000000001" customHeight="1" x14ac:dyDescent="0.25">
      <c r="A20" s="41" t="s">
        <v>81</v>
      </c>
      <c r="B20" s="40" t="s">
        <v>82</v>
      </c>
      <c r="C20" s="41" t="s">
        <v>83</v>
      </c>
      <c r="D20" s="40" t="s">
        <v>84</v>
      </c>
      <c r="E20" s="41" t="s">
        <v>85</v>
      </c>
      <c r="F20" s="40">
        <v>50</v>
      </c>
      <c r="H20" s="41" t="s">
        <v>31</v>
      </c>
      <c r="I20" s="40" t="s">
        <v>86</v>
      </c>
      <c r="J20" s="40" t="s">
        <v>24</v>
      </c>
      <c r="K20" s="40" t="s">
        <v>64</v>
      </c>
      <c r="L20" s="40" t="s">
        <v>26</v>
      </c>
      <c r="M20" s="40" t="str">
        <f t="shared" si="0"/>
        <v>C10x10</v>
      </c>
      <c r="N20" s="41" t="s">
        <v>87</v>
      </c>
      <c r="O20" s="40" t="str">
        <f t="shared" si="1"/>
        <v>C-UUD1H221MNL1GS</v>
      </c>
    </row>
    <row r="21" spans="1:15" ht="20.100000000000001" customHeight="1" x14ac:dyDescent="0.25">
      <c r="A21" s="40" t="s">
        <v>88</v>
      </c>
      <c r="B21" s="40" t="s">
        <v>89</v>
      </c>
      <c r="C21" s="41" t="s">
        <v>630</v>
      </c>
      <c r="D21" s="40" t="s">
        <v>90</v>
      </c>
      <c r="E21" s="41" t="s">
        <v>91</v>
      </c>
      <c r="F21" s="40">
        <v>16</v>
      </c>
      <c r="G21" s="41" t="s">
        <v>37</v>
      </c>
      <c r="H21" s="41" t="s">
        <v>31</v>
      </c>
      <c r="I21" s="41" t="s">
        <v>23</v>
      </c>
      <c r="J21" s="40" t="s">
        <v>24</v>
      </c>
      <c r="K21" s="40" t="s">
        <v>25</v>
      </c>
      <c r="L21" s="40" t="s">
        <v>26</v>
      </c>
      <c r="M21" s="40" t="str">
        <f t="shared" si="0"/>
        <v>C0603</v>
      </c>
      <c r="N21" s="40" t="str">
        <f t="shared" ref="N21:N26" si="2">"C-"&amp;D21&amp;"-"&amp;G21&amp;"-"&amp;F21&amp;"-"&amp;E21&amp;" "&amp;IF(H21="±0,03","A",IF(H21="±0,1","B",IF(H21="±0,25","C",IF(H21="±0,5","D",IF(H21="±1%","F",IF(H21="±2%","G",IF(H21="±5%","J",IF(H21="±10%","K",IF(H21="±20%","M","")))))))))</f>
        <v>C-0603-X5R-16-22uF M</v>
      </c>
      <c r="O21" s="40" t="str">
        <f t="shared" si="1"/>
        <v>C-0603-X5R-16-22uF M</v>
      </c>
    </row>
    <row r="22" spans="1:15" ht="20.100000000000001" customHeight="1" x14ac:dyDescent="0.25">
      <c r="A22" s="40" t="s">
        <v>92</v>
      </c>
      <c r="B22" s="40" t="s">
        <v>93</v>
      </c>
      <c r="C22" s="41" t="s">
        <v>630</v>
      </c>
      <c r="D22" s="40" t="s">
        <v>19</v>
      </c>
      <c r="E22" s="41" t="s">
        <v>94</v>
      </c>
      <c r="F22" s="40">
        <v>50</v>
      </c>
      <c r="G22" s="41" t="s">
        <v>30</v>
      </c>
      <c r="H22" s="41" t="s">
        <v>34</v>
      </c>
      <c r="I22" s="41" t="s">
        <v>23</v>
      </c>
      <c r="J22" s="40" t="s">
        <v>24</v>
      </c>
      <c r="K22" s="40" t="s">
        <v>25</v>
      </c>
      <c r="L22" s="40" t="s">
        <v>26</v>
      </c>
      <c r="M22" s="40" t="str">
        <f t="shared" si="0"/>
        <v>C0402</v>
      </c>
      <c r="N22" s="40" t="str">
        <f t="shared" si="2"/>
        <v>C-0402-X7R-50-3300pF K</v>
      </c>
      <c r="O22" s="40" t="str">
        <f t="shared" si="1"/>
        <v>C-0402-X7R-50-3300pF K</v>
      </c>
    </row>
    <row r="23" spans="1:15" ht="20.100000000000001" customHeight="1" x14ac:dyDescent="0.25">
      <c r="A23" s="40" t="s">
        <v>95</v>
      </c>
      <c r="B23" s="40" t="s">
        <v>96</v>
      </c>
      <c r="C23" s="41" t="s">
        <v>630</v>
      </c>
      <c r="D23" s="40" t="s">
        <v>19</v>
      </c>
      <c r="E23" s="41" t="s">
        <v>97</v>
      </c>
      <c r="F23" s="40">
        <v>50</v>
      </c>
      <c r="G23" s="41" t="s">
        <v>21</v>
      </c>
      <c r="H23" s="41" t="s">
        <v>22</v>
      </c>
      <c r="I23" s="41" t="s">
        <v>23</v>
      </c>
      <c r="J23" s="40" t="s">
        <v>24</v>
      </c>
      <c r="K23" s="40" t="s">
        <v>25</v>
      </c>
      <c r="L23" s="40" t="s">
        <v>26</v>
      </c>
      <c r="M23" s="40" t="str">
        <f t="shared" si="0"/>
        <v>C0402</v>
      </c>
      <c r="N23" s="40" t="str">
        <f t="shared" si="2"/>
        <v>C-0402-NP0-50-390pF J</v>
      </c>
      <c r="O23" s="40" t="str">
        <f t="shared" si="1"/>
        <v>C-0402-NP0-50-390pF J</v>
      </c>
    </row>
    <row r="24" spans="1:15" ht="20.100000000000001" customHeight="1" x14ac:dyDescent="0.25">
      <c r="A24" s="40" t="s">
        <v>98</v>
      </c>
      <c r="B24" s="40" t="s">
        <v>99</v>
      </c>
      <c r="C24" s="41" t="s">
        <v>630</v>
      </c>
      <c r="D24" s="40" t="s">
        <v>19</v>
      </c>
      <c r="E24" s="41" t="s">
        <v>100</v>
      </c>
      <c r="F24" s="40">
        <v>50</v>
      </c>
      <c r="G24" s="41" t="s">
        <v>21</v>
      </c>
      <c r="H24" s="41" t="s">
        <v>22</v>
      </c>
      <c r="I24" s="41" t="s">
        <v>23</v>
      </c>
      <c r="J24" s="40" t="s">
        <v>24</v>
      </c>
      <c r="K24" s="40" t="s">
        <v>25</v>
      </c>
      <c r="L24" s="40" t="s">
        <v>26</v>
      </c>
      <c r="M24" s="40" t="str">
        <f t="shared" si="0"/>
        <v>C0402</v>
      </c>
      <c r="N24" s="40" t="str">
        <f t="shared" si="2"/>
        <v>C-0402-NP0-50-39pF J</v>
      </c>
      <c r="O24" s="40" t="str">
        <f t="shared" si="1"/>
        <v>C-0402-NP0-50-39pF J</v>
      </c>
    </row>
    <row r="25" spans="1:15" ht="20.100000000000001" customHeight="1" x14ac:dyDescent="0.25">
      <c r="A25" s="40" t="s">
        <v>101</v>
      </c>
      <c r="B25" s="40" t="s">
        <v>102</v>
      </c>
      <c r="C25" s="41" t="s">
        <v>630</v>
      </c>
      <c r="D25" s="40" t="s">
        <v>19</v>
      </c>
      <c r="E25" s="41" t="s">
        <v>103</v>
      </c>
      <c r="F25" s="40">
        <v>50</v>
      </c>
      <c r="G25" s="41" t="s">
        <v>30</v>
      </c>
      <c r="H25" s="41" t="s">
        <v>34</v>
      </c>
      <c r="I25" s="41" t="s">
        <v>23</v>
      </c>
      <c r="J25" s="40" t="s">
        <v>24</v>
      </c>
      <c r="K25" s="40" t="s">
        <v>25</v>
      </c>
      <c r="L25" s="40" t="s">
        <v>26</v>
      </c>
      <c r="M25" s="40" t="str">
        <f t="shared" si="0"/>
        <v>C0402</v>
      </c>
      <c r="N25" s="40" t="str">
        <f t="shared" si="2"/>
        <v>C-0402-X7R-50-4700pF K</v>
      </c>
      <c r="O25" s="40" t="str">
        <f t="shared" si="1"/>
        <v>C-0402-X7R-50-4700pF K</v>
      </c>
    </row>
    <row r="26" spans="1:15" ht="20.100000000000001" customHeight="1" x14ac:dyDescent="0.25">
      <c r="A26" s="40" t="s">
        <v>104</v>
      </c>
      <c r="B26" s="40" t="s">
        <v>105</v>
      </c>
      <c r="C26" s="41" t="s">
        <v>630</v>
      </c>
      <c r="D26" s="40" t="s">
        <v>90</v>
      </c>
      <c r="E26" s="41" t="s">
        <v>106</v>
      </c>
      <c r="F26" s="43" t="s">
        <v>68</v>
      </c>
      <c r="G26" s="41" t="s">
        <v>37</v>
      </c>
      <c r="H26" s="41" t="s">
        <v>31</v>
      </c>
      <c r="I26" s="41" t="s">
        <v>23</v>
      </c>
      <c r="J26" s="40" t="s">
        <v>24</v>
      </c>
      <c r="K26" s="40" t="s">
        <v>25</v>
      </c>
      <c r="L26" s="40" t="s">
        <v>26</v>
      </c>
      <c r="M26" s="40" t="str">
        <f t="shared" si="0"/>
        <v>C0603</v>
      </c>
      <c r="N26" s="40" t="str">
        <f t="shared" si="2"/>
        <v>C-0603-X5R-6.3-47uF M</v>
      </c>
      <c r="O26" s="40" t="str">
        <f t="shared" si="1"/>
        <v>C-0603-X5R-6.3-47uF M</v>
      </c>
    </row>
    <row r="27" spans="1:15" ht="20.100000000000001" customHeight="1" x14ac:dyDescent="0.25">
      <c r="A27" s="40" t="s">
        <v>107</v>
      </c>
      <c r="B27" s="40" t="s">
        <v>108</v>
      </c>
      <c r="C27" s="41" t="s">
        <v>83</v>
      </c>
      <c r="D27" s="40" t="s">
        <v>109</v>
      </c>
      <c r="E27" s="40" t="s">
        <v>110</v>
      </c>
      <c r="F27" s="41">
        <v>35</v>
      </c>
      <c r="H27" s="41" t="s">
        <v>31</v>
      </c>
      <c r="I27" s="40" t="s">
        <v>1390</v>
      </c>
      <c r="J27" s="40" t="s">
        <v>24</v>
      </c>
      <c r="K27" s="40" t="s">
        <v>64</v>
      </c>
      <c r="L27" s="40" t="s">
        <v>26</v>
      </c>
      <c r="M27" s="40" t="str">
        <f t="shared" si="0"/>
        <v>C6.3x7.7</v>
      </c>
      <c r="N27" s="41" t="s">
        <v>111</v>
      </c>
      <c r="O27" s="40" t="str">
        <f t="shared" si="1"/>
        <v>C-UUD1V680MCL1GS</v>
      </c>
    </row>
    <row r="28" spans="1:15" ht="20.100000000000001" customHeight="1" x14ac:dyDescent="0.25">
      <c r="A28" s="40" t="s">
        <v>112</v>
      </c>
      <c r="B28" s="40" t="s">
        <v>113</v>
      </c>
      <c r="C28" s="41" t="s">
        <v>630</v>
      </c>
      <c r="D28" s="40" t="s">
        <v>19</v>
      </c>
      <c r="E28" s="41" t="s">
        <v>114</v>
      </c>
      <c r="F28" s="40">
        <v>50</v>
      </c>
      <c r="G28" s="41" t="s">
        <v>30</v>
      </c>
      <c r="H28" s="41" t="s">
        <v>34</v>
      </c>
      <c r="I28" s="41" t="s">
        <v>23</v>
      </c>
      <c r="J28" s="40" t="s">
        <v>24</v>
      </c>
      <c r="K28" s="40" t="s">
        <v>25</v>
      </c>
      <c r="L28" s="40" t="s">
        <v>26</v>
      </c>
      <c r="M28" s="40" t="str">
        <f t="shared" si="0"/>
        <v>C0402</v>
      </c>
      <c r="N28" s="40" t="str">
        <f>"C-"&amp;D28&amp;"-"&amp;G28&amp;"-"&amp;F28&amp;"-"&amp;E28&amp;" "&amp;IF(H28="±0,03","A",IF(H28="±0,1","B",IF(H28="±0,25","C",IF(H28="±0,5","D",IF(H28="±1%","F",IF(H28="±2%","G",IF(H28="±5%","J",IF(H28="±10%","K",IF(H28="±20%","M","")))))))))</f>
        <v>C-0402-X7R-50-8200pF K</v>
      </c>
      <c r="O28" s="40" t="str">
        <f t="shared" si="1"/>
        <v>C-0402-X7R-50-8200pF K</v>
      </c>
    </row>
    <row r="29" spans="1:15" ht="20.100000000000001" customHeight="1" x14ac:dyDescent="0.25">
      <c r="A29" s="40" t="s">
        <v>115</v>
      </c>
      <c r="B29" s="40" t="s">
        <v>116</v>
      </c>
      <c r="C29" s="41" t="s">
        <v>630</v>
      </c>
      <c r="D29" s="40">
        <v>1206</v>
      </c>
      <c r="E29" s="41" t="s">
        <v>117</v>
      </c>
      <c r="F29" s="43" t="s">
        <v>68</v>
      </c>
      <c r="G29" s="41" t="s">
        <v>37</v>
      </c>
      <c r="H29" s="41" t="s">
        <v>34</v>
      </c>
      <c r="I29" s="41" t="s">
        <v>23</v>
      </c>
      <c r="J29" s="40" t="s">
        <v>24</v>
      </c>
      <c r="K29" s="40" t="s">
        <v>25</v>
      </c>
      <c r="L29" s="40" t="s">
        <v>26</v>
      </c>
      <c r="M29" s="40" t="str">
        <f t="shared" si="0"/>
        <v>C1206</v>
      </c>
      <c r="N29" s="40" t="str">
        <f>"C-"&amp;D29&amp;"-"&amp;G29&amp;"-"&amp;F29&amp;"-"&amp;E29&amp;" "&amp;IF(H29="±0,03","A",IF(H29="±0,1","B",IF(H29="±0,25","C",IF(H29="±0,5","D",IF(H29="±1%","F",IF(H29="±2%","G",IF(H29="±5%","J",IF(H29="±10%","K",IF(H29="±20%","M","")))))))))</f>
        <v>C-1206-X5R-6.3-100uF K</v>
      </c>
      <c r="O29" s="40" t="str">
        <f t="shared" si="1"/>
        <v>C-1206-X5R-6.3-100uF K</v>
      </c>
    </row>
    <row r="30" spans="1:15" ht="20.100000000000001" customHeight="1" x14ac:dyDescent="0.25">
      <c r="A30" s="40" t="s">
        <v>118</v>
      </c>
      <c r="B30" s="40" t="s">
        <v>119</v>
      </c>
      <c r="C30" s="41" t="s">
        <v>630</v>
      </c>
      <c r="D30" s="40">
        <v>1210</v>
      </c>
      <c r="E30" s="41" t="s">
        <v>91</v>
      </c>
      <c r="F30" s="40">
        <v>25</v>
      </c>
      <c r="G30" s="41" t="s">
        <v>30</v>
      </c>
      <c r="H30" s="41" t="s">
        <v>34</v>
      </c>
      <c r="I30" s="41" t="s">
        <v>23</v>
      </c>
      <c r="J30" s="40" t="s">
        <v>24</v>
      </c>
      <c r="K30" s="40" t="s">
        <v>25</v>
      </c>
      <c r="L30" s="40" t="s">
        <v>26</v>
      </c>
      <c r="M30" s="40" t="str">
        <f t="shared" si="0"/>
        <v>C1210</v>
      </c>
      <c r="N30" s="40" t="str">
        <f>"C-"&amp;D30&amp;"-"&amp;G30&amp;"-"&amp;F30&amp;"-"&amp;E30&amp;" "&amp;IF(H30="±0,03","A",IF(H30="±0,1","B",IF(H30="±0,25","C",IF(H30="±0,5","D",IF(H30="±1%","F",IF(H30="±2%","G",IF(H30="±5%","J",IF(H30="±10%","K",IF(H30="±20%","M","")))))))))</f>
        <v>C-1210-X7R-25-22uF K</v>
      </c>
      <c r="O30" s="40" t="str">
        <f t="shared" si="1"/>
        <v>C-1210-X7R-25-22uF K</v>
      </c>
    </row>
    <row r="31" spans="1:15" ht="20.100000000000001" customHeight="1" x14ac:dyDescent="0.25">
      <c r="A31" s="40" t="s">
        <v>120</v>
      </c>
      <c r="B31" s="40" t="s">
        <v>121</v>
      </c>
      <c r="C31" s="41" t="s">
        <v>630</v>
      </c>
      <c r="D31" s="40" t="s">
        <v>19</v>
      </c>
      <c r="E31" s="41" t="s">
        <v>122</v>
      </c>
      <c r="F31" s="40">
        <v>50</v>
      </c>
      <c r="G31" s="41" t="s">
        <v>21</v>
      </c>
      <c r="H31" s="41" t="s">
        <v>123</v>
      </c>
      <c r="I31" s="41" t="s">
        <v>23</v>
      </c>
      <c r="J31" s="40" t="s">
        <v>24</v>
      </c>
      <c r="K31" s="40" t="s">
        <v>25</v>
      </c>
      <c r="L31" s="40" t="s">
        <v>26</v>
      </c>
      <c r="M31" s="40" t="str">
        <f t="shared" si="0"/>
        <v>C0402</v>
      </c>
      <c r="N31" s="40" t="s">
        <v>124</v>
      </c>
      <c r="O31" s="40" t="str">
        <f t="shared" si="1"/>
        <v>C-0402-NP0-50-4.7pF B</v>
      </c>
    </row>
    <row r="32" spans="1:15" ht="20.100000000000001" customHeight="1" x14ac:dyDescent="0.25">
      <c r="A32" s="40" t="s">
        <v>125</v>
      </c>
      <c r="B32" s="40" t="s">
        <v>126</v>
      </c>
      <c r="C32" s="41" t="s">
        <v>630</v>
      </c>
      <c r="D32" s="40" t="s">
        <v>19</v>
      </c>
      <c r="E32" s="41" t="s">
        <v>61</v>
      </c>
      <c r="F32" s="40">
        <v>10</v>
      </c>
      <c r="G32" s="41" t="s">
        <v>37</v>
      </c>
      <c r="H32" s="41" t="s">
        <v>31</v>
      </c>
      <c r="I32" s="41" t="s">
        <v>23</v>
      </c>
      <c r="J32" s="40" t="s">
        <v>24</v>
      </c>
      <c r="K32" s="40" t="s">
        <v>25</v>
      </c>
      <c r="L32" s="40" t="s">
        <v>26</v>
      </c>
      <c r="M32" s="40" t="str">
        <f t="shared" si="0"/>
        <v>C0402</v>
      </c>
      <c r="N32" s="40" t="str">
        <f t="shared" ref="N32:O43" si="3">"C-"&amp;D32&amp;"-"&amp;G32&amp;"-"&amp;F32&amp;"-"&amp;E32&amp;" "&amp;IF(H32="±0,03","A",IF(H32="±0,1","B",IF(H32="±0,25","C",IF(H32="±0,5","D",IF(H32="±1%","F",IF(H32="±2%","G",IF(H32="±5%","J",IF(H32="±10%","K",IF(H32="±20%","M","")))))))))</f>
        <v>C-0402-X5R-10-10uF M</v>
      </c>
      <c r="O32" s="40" t="str">
        <f t="shared" si="1"/>
        <v>C-0402-X5R-10-10uF M</v>
      </c>
    </row>
    <row r="33" spans="1:15" ht="20.100000000000001" customHeight="1" x14ac:dyDescent="0.25">
      <c r="A33" s="40" t="s">
        <v>127</v>
      </c>
      <c r="B33" s="40" t="s">
        <v>128</v>
      </c>
      <c r="C33" s="41" t="s">
        <v>630</v>
      </c>
      <c r="D33" s="40" t="s">
        <v>129</v>
      </c>
      <c r="E33" s="41" t="s">
        <v>33</v>
      </c>
      <c r="F33" s="40">
        <v>25</v>
      </c>
      <c r="G33" s="41" t="s">
        <v>37</v>
      </c>
      <c r="H33" s="41" t="s">
        <v>34</v>
      </c>
      <c r="I33" s="41" t="s">
        <v>23</v>
      </c>
      <c r="J33" s="40" t="s">
        <v>24</v>
      </c>
      <c r="K33" s="40" t="s">
        <v>25</v>
      </c>
      <c r="L33" s="40" t="s">
        <v>26</v>
      </c>
      <c r="M33" s="40" t="str">
        <f t="shared" si="0"/>
        <v>C0201</v>
      </c>
      <c r="N33" s="40" t="str">
        <f t="shared" si="3"/>
        <v>C-0201-X5R-25-0.1uF K</v>
      </c>
      <c r="O33" s="40" t="str">
        <f t="shared" si="1"/>
        <v>C-0201-X5R-25-0.1uF K</v>
      </c>
    </row>
    <row r="34" spans="1:15" ht="20.100000000000001" customHeight="1" x14ac:dyDescent="0.25">
      <c r="A34" s="40" t="s">
        <v>130</v>
      </c>
      <c r="B34" s="40" t="s">
        <v>131</v>
      </c>
      <c r="C34" s="41" t="s">
        <v>630</v>
      </c>
      <c r="D34" s="40" t="s">
        <v>19</v>
      </c>
      <c r="E34" s="41" t="s">
        <v>132</v>
      </c>
      <c r="F34" s="40">
        <v>16</v>
      </c>
      <c r="G34" s="41" t="s">
        <v>30</v>
      </c>
      <c r="H34" s="41" t="s">
        <v>34</v>
      </c>
      <c r="I34" s="41" t="s">
        <v>23</v>
      </c>
      <c r="J34" s="40" t="s">
        <v>24</v>
      </c>
      <c r="K34" s="40" t="s">
        <v>25</v>
      </c>
      <c r="L34" s="40" t="s">
        <v>26</v>
      </c>
      <c r="M34" s="40" t="str">
        <f t="shared" si="0"/>
        <v>C0402</v>
      </c>
      <c r="N34" s="40" t="str">
        <f t="shared" si="3"/>
        <v>C-0402-X7R-16-0.022uF K</v>
      </c>
      <c r="O34" s="40" t="str">
        <f t="shared" si="1"/>
        <v>C-0402-X7R-16-0.022uF K</v>
      </c>
    </row>
    <row r="35" spans="1:15" x14ac:dyDescent="0.25">
      <c r="A35" s="40" t="s">
        <v>133</v>
      </c>
      <c r="B35" s="40" t="s">
        <v>134</v>
      </c>
      <c r="C35" s="41" t="s">
        <v>630</v>
      </c>
      <c r="D35" s="40" t="s">
        <v>129</v>
      </c>
      <c r="E35" s="41" t="s">
        <v>77</v>
      </c>
      <c r="F35" s="40">
        <v>10</v>
      </c>
      <c r="G35" s="41" t="s">
        <v>37</v>
      </c>
      <c r="H35" s="41" t="s">
        <v>31</v>
      </c>
      <c r="I35" s="41" t="s">
        <v>23</v>
      </c>
      <c r="J35" s="40" t="s">
        <v>24</v>
      </c>
      <c r="K35" s="40" t="s">
        <v>25</v>
      </c>
      <c r="L35" s="40" t="s">
        <v>26</v>
      </c>
      <c r="M35" s="40" t="str">
        <f t="shared" si="0"/>
        <v>C0201</v>
      </c>
      <c r="N35" s="40" t="str">
        <f t="shared" si="3"/>
        <v>C-0201-X5R-10-1uF M</v>
      </c>
      <c r="O35" s="40" t="str">
        <f t="shared" si="1"/>
        <v>C-0201-X5R-10-1uF M</v>
      </c>
    </row>
    <row r="36" spans="1:15" x14ac:dyDescent="0.25">
      <c r="A36" s="40" t="s">
        <v>135</v>
      </c>
      <c r="B36" s="40" t="s">
        <v>136</v>
      </c>
      <c r="C36" s="41" t="s">
        <v>630</v>
      </c>
      <c r="D36" s="40" t="s">
        <v>129</v>
      </c>
      <c r="E36" s="42" t="s">
        <v>137</v>
      </c>
      <c r="F36" s="43" t="s">
        <v>68</v>
      </c>
      <c r="G36" s="41" t="s">
        <v>37</v>
      </c>
      <c r="H36" s="41" t="s">
        <v>31</v>
      </c>
      <c r="I36" s="41" t="s">
        <v>23</v>
      </c>
      <c r="J36" s="40" t="s">
        <v>24</v>
      </c>
      <c r="K36" s="40" t="s">
        <v>25</v>
      </c>
      <c r="L36" s="40" t="s">
        <v>26</v>
      </c>
      <c r="M36" s="40" t="str">
        <f t="shared" si="0"/>
        <v>C0201</v>
      </c>
      <c r="N36" s="40" t="str">
        <f t="shared" si="3"/>
        <v>C-0201-X5R-6.3-4.7uF M</v>
      </c>
      <c r="O36" s="40" t="str">
        <f t="shared" si="1"/>
        <v>C-0201-X5R-6.3-4.7uF M</v>
      </c>
    </row>
    <row r="37" spans="1:15" x14ac:dyDescent="0.25">
      <c r="A37" s="40" t="s">
        <v>138</v>
      </c>
      <c r="B37" s="40" t="s">
        <v>139</v>
      </c>
      <c r="C37" s="41" t="s">
        <v>630</v>
      </c>
      <c r="D37" s="40" t="s">
        <v>19</v>
      </c>
      <c r="E37" s="42" t="s">
        <v>137</v>
      </c>
      <c r="F37" s="40">
        <v>10</v>
      </c>
      <c r="G37" s="41" t="s">
        <v>37</v>
      </c>
      <c r="H37" s="41" t="s">
        <v>31</v>
      </c>
      <c r="I37" s="41" t="s">
        <v>23</v>
      </c>
      <c r="J37" s="40" t="s">
        <v>24</v>
      </c>
      <c r="K37" s="40" t="s">
        <v>25</v>
      </c>
      <c r="L37" s="40" t="s">
        <v>26</v>
      </c>
      <c r="M37" s="40" t="str">
        <f t="shared" si="0"/>
        <v>C0402</v>
      </c>
      <c r="N37" s="40" t="str">
        <f t="shared" si="3"/>
        <v>C-0402-X5R-10-4.7uF M</v>
      </c>
      <c r="O37" s="40" t="str">
        <f t="shared" si="1"/>
        <v>C-0402-X5R-10-4.7uF M</v>
      </c>
    </row>
    <row r="38" spans="1:15" x14ac:dyDescent="0.25">
      <c r="A38" s="40" t="s">
        <v>140</v>
      </c>
      <c r="B38" s="40" t="s">
        <v>141</v>
      </c>
      <c r="C38" s="40" t="s">
        <v>142</v>
      </c>
      <c r="D38" s="40" t="s">
        <v>90</v>
      </c>
      <c r="E38" s="41" t="s">
        <v>74</v>
      </c>
      <c r="F38" s="40">
        <v>50</v>
      </c>
      <c r="G38" s="41" t="s">
        <v>21</v>
      </c>
      <c r="H38" s="41" t="s">
        <v>22</v>
      </c>
      <c r="I38" s="41" t="s">
        <v>23</v>
      </c>
      <c r="J38" s="40" t="s">
        <v>24</v>
      </c>
      <c r="K38" s="40" t="s">
        <v>25</v>
      </c>
      <c r="L38" s="40" t="s">
        <v>26</v>
      </c>
      <c r="M38" s="40" t="str">
        <f t="shared" si="0"/>
        <v>C0603</v>
      </c>
      <c r="N38" s="40" t="str">
        <f t="shared" si="3"/>
        <v>C-0603-NP0-50-1800pF J</v>
      </c>
      <c r="O38" s="40" t="str">
        <f t="shared" si="1"/>
        <v>C-0603-NP0-50-1800pF J</v>
      </c>
    </row>
    <row r="39" spans="1:15" x14ac:dyDescent="0.25">
      <c r="A39" s="40" t="s">
        <v>143</v>
      </c>
      <c r="B39" s="40" t="s">
        <v>144</v>
      </c>
      <c r="C39" s="41" t="s">
        <v>45</v>
      </c>
      <c r="D39" s="40" t="s">
        <v>90</v>
      </c>
      <c r="E39" s="41" t="s">
        <v>145</v>
      </c>
      <c r="F39" s="40">
        <v>25</v>
      </c>
      <c r="G39" s="41" t="s">
        <v>21</v>
      </c>
      <c r="H39" s="41" t="s">
        <v>22</v>
      </c>
      <c r="I39" s="41" t="s">
        <v>23</v>
      </c>
      <c r="J39" s="40" t="s">
        <v>24</v>
      </c>
      <c r="K39" s="40" t="s">
        <v>25</v>
      </c>
      <c r="L39" s="40" t="s">
        <v>26</v>
      </c>
      <c r="M39" s="40" t="str">
        <f t="shared" si="0"/>
        <v>C0603</v>
      </c>
      <c r="N39" s="40" t="str">
        <f t="shared" si="3"/>
        <v>C-0603-NP0-25-0.012uF J</v>
      </c>
      <c r="O39" s="40" t="str">
        <f t="shared" si="1"/>
        <v>C-0603-NP0-25-0.012uF J</v>
      </c>
    </row>
    <row r="40" spans="1:15" x14ac:dyDescent="0.25">
      <c r="A40" s="40" t="s">
        <v>146</v>
      </c>
      <c r="B40" s="40" t="s">
        <v>147</v>
      </c>
      <c r="C40" s="41" t="s">
        <v>630</v>
      </c>
      <c r="D40" s="40">
        <v>1206</v>
      </c>
      <c r="E40" s="40" t="s">
        <v>148</v>
      </c>
      <c r="F40" s="40">
        <v>25</v>
      </c>
      <c r="G40" s="41" t="s">
        <v>21</v>
      </c>
      <c r="H40" s="41" t="s">
        <v>22</v>
      </c>
      <c r="I40" s="41" t="s">
        <v>23</v>
      </c>
      <c r="J40" s="40" t="s">
        <v>24</v>
      </c>
      <c r="K40" s="40" t="s">
        <v>25</v>
      </c>
      <c r="L40" s="40" t="s">
        <v>26</v>
      </c>
      <c r="M40" s="40" t="str">
        <f t="shared" si="0"/>
        <v>C1206</v>
      </c>
      <c r="N40" s="40" t="str">
        <f t="shared" si="3"/>
        <v>C-1206-NP0-25-0.33uF J</v>
      </c>
      <c r="O40" s="40" t="str">
        <f t="shared" si="1"/>
        <v>C-1206-NP0-25-0.33uF J</v>
      </c>
    </row>
    <row r="41" spans="1:15" ht="20.100000000000001" customHeight="1" x14ac:dyDescent="0.25">
      <c r="A41" s="40" t="s">
        <v>149</v>
      </c>
      <c r="B41" s="40" t="s">
        <v>150</v>
      </c>
      <c r="C41" s="41" t="s">
        <v>630</v>
      </c>
      <c r="D41" s="40" t="s">
        <v>19</v>
      </c>
      <c r="E41" s="41" t="s">
        <v>151</v>
      </c>
      <c r="F41" s="40">
        <v>50</v>
      </c>
      <c r="G41" s="41" t="s">
        <v>21</v>
      </c>
      <c r="H41" s="41" t="s">
        <v>22</v>
      </c>
      <c r="I41" s="41" t="s">
        <v>23</v>
      </c>
      <c r="J41" s="40" t="s">
        <v>24</v>
      </c>
      <c r="K41" s="40" t="s">
        <v>25</v>
      </c>
      <c r="L41" s="40" t="s">
        <v>26</v>
      </c>
      <c r="M41" s="40" t="str">
        <f t="shared" si="0"/>
        <v>C0402</v>
      </c>
      <c r="N41" s="40" t="str">
        <f t="shared" si="3"/>
        <v>C-0402-NP0-50-130pF J</v>
      </c>
      <c r="O41" s="40" t="str">
        <f t="shared" si="1"/>
        <v>C-0402-NP0-50-130pF J</v>
      </c>
    </row>
    <row r="42" spans="1:15" x14ac:dyDescent="0.25">
      <c r="A42" s="40" t="s">
        <v>1386</v>
      </c>
      <c r="B42" s="40" t="s">
        <v>1387</v>
      </c>
      <c r="C42" s="41" t="s">
        <v>1377</v>
      </c>
      <c r="D42" s="40" t="s">
        <v>1388</v>
      </c>
      <c r="E42" s="40" t="s">
        <v>117</v>
      </c>
      <c r="F42" s="40">
        <v>35</v>
      </c>
      <c r="G42" s="40" t="s">
        <v>1389</v>
      </c>
      <c r="H42" s="41" t="s">
        <v>31</v>
      </c>
      <c r="I42" s="40" t="s">
        <v>1390</v>
      </c>
      <c r="J42" s="40" t="s">
        <v>24</v>
      </c>
      <c r="K42" s="40" t="s">
        <v>64</v>
      </c>
      <c r="L42" s="40" t="s">
        <v>26</v>
      </c>
      <c r="M42" s="40" t="s">
        <v>1417</v>
      </c>
      <c r="N42" s="40" t="s">
        <v>1391</v>
      </c>
      <c r="O42" s="40" t="s">
        <v>1391</v>
      </c>
    </row>
    <row r="43" spans="1:15" x14ac:dyDescent="0.25">
      <c r="A43" s="40" t="s">
        <v>1392</v>
      </c>
      <c r="B43" s="40" t="s">
        <v>1393</v>
      </c>
      <c r="C43" s="40" t="s">
        <v>630</v>
      </c>
      <c r="D43" s="44" t="s">
        <v>60</v>
      </c>
      <c r="E43" s="40" t="s">
        <v>61</v>
      </c>
      <c r="F43" s="40">
        <v>50</v>
      </c>
      <c r="G43" s="45" t="s">
        <v>37</v>
      </c>
      <c r="H43" s="41" t="s">
        <v>34</v>
      </c>
      <c r="I43" s="41" t="s">
        <v>23</v>
      </c>
      <c r="J43" s="40" t="s">
        <v>24</v>
      </c>
      <c r="K43" s="40" t="s">
        <v>25</v>
      </c>
      <c r="L43" s="40" t="s">
        <v>26</v>
      </c>
      <c r="M43" s="40" t="str">
        <f t="shared" si="0"/>
        <v>C0805</v>
      </c>
      <c r="N43" s="40" t="str">
        <f t="shared" si="3"/>
        <v>C-0805-X5R-50-10uF K</v>
      </c>
      <c r="O43" s="40" t="str">
        <f>N43</f>
        <v>C-0805-X5R-50-10uF K</v>
      </c>
    </row>
    <row r="44" spans="1:15" x14ac:dyDescent="0.25">
      <c r="A44" s="40" t="s">
        <v>1394</v>
      </c>
      <c r="B44" s="40" t="s">
        <v>1395</v>
      </c>
      <c r="C44" s="40" t="s">
        <v>630</v>
      </c>
      <c r="D44" s="44" t="s">
        <v>60</v>
      </c>
      <c r="E44" s="40" t="s">
        <v>46</v>
      </c>
      <c r="F44" s="40">
        <v>50</v>
      </c>
      <c r="G44" s="41" t="s">
        <v>30</v>
      </c>
      <c r="H44" s="41" t="s">
        <v>31</v>
      </c>
      <c r="I44" s="41" t="s">
        <v>23</v>
      </c>
      <c r="J44" s="40" t="s">
        <v>24</v>
      </c>
      <c r="K44" s="40" t="s">
        <v>25</v>
      </c>
      <c r="L44" s="40" t="s">
        <v>26</v>
      </c>
      <c r="M44" s="40" t="str">
        <f t="shared" ref="M44" si="4">"C"&amp;D44</f>
        <v>C0805</v>
      </c>
      <c r="N44" s="40" t="str">
        <f t="shared" ref="N44" si="5">"C-"&amp;D44&amp;"-"&amp;G44&amp;"-"&amp;F44&amp;"-"&amp;E44&amp;" "&amp;IF(H44="±0,03","A",IF(H44="±0,1","B",IF(H44="±0,25","C",IF(H44="±0,5","D",IF(H44="±1%","F",IF(H44="±2%","G",IF(H44="±5%","J",IF(H44="±10%","K",IF(H44="±20%","M","")))))))))</f>
        <v>C-0805-X7R-50-0.47uF M</v>
      </c>
      <c r="O44" s="40" t="str">
        <f>N44</f>
        <v>C-0805-X7R-50-0.47uF M</v>
      </c>
    </row>
  </sheetData>
  <conditionalFormatting sqref="M2:M44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showGridLines="0" tabSelected="1" topLeftCell="F1" workbookViewId="0">
      <selection activeCell="R20" sqref="R20"/>
    </sheetView>
  </sheetViews>
  <sheetFormatPr defaultRowHeight="15.75" x14ac:dyDescent="0.25"/>
  <cols>
    <col min="1" max="1" width="21.875" customWidth="1"/>
    <col min="2" max="2" width="54.625" customWidth="1"/>
    <col min="3" max="3" width="20.375" customWidth="1"/>
    <col min="4" max="4" width="9.5" customWidth="1"/>
    <col min="5" max="5" width="13.25" customWidth="1"/>
    <col min="6" max="6" width="11.125" customWidth="1"/>
    <col min="7" max="7" width="15.875" customWidth="1"/>
    <col min="8" max="8" width="10.75" customWidth="1"/>
    <col min="9" max="9" width="8.875" customWidth="1"/>
    <col min="10" max="10" width="16.375" customWidth="1"/>
    <col min="11" max="11" width="7.5" customWidth="1"/>
    <col min="12" max="12" width="24.875" customWidth="1"/>
    <col min="13" max="13" width="12.5" customWidth="1"/>
    <col min="14" max="14" width="15.625" customWidth="1"/>
    <col min="15" max="15" width="20.375" customWidth="1"/>
    <col min="16" max="16" width="17.75" customWidth="1"/>
    <col min="17" max="17" width="14.75" customWidth="1"/>
    <col min="18" max="18" width="25" customWidth="1"/>
    <col min="19" max="19" width="26.75" customWidth="1"/>
  </cols>
  <sheetData>
    <row r="1" spans="1:19" s="2" customFormat="1" ht="20.100000000000001" customHeight="1" x14ac:dyDescent="0.25">
      <c r="A1" s="2" t="s">
        <v>0</v>
      </c>
      <c r="B1" s="3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152</v>
      </c>
      <c r="J1" s="2" t="s">
        <v>153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s="2" customFormat="1" ht="20.100000000000001" customHeight="1" x14ac:dyDescent="0.25">
      <c r="A2" s="2" t="s">
        <v>1300</v>
      </c>
      <c r="B2" s="34" t="s">
        <v>1301</v>
      </c>
      <c r="C2" s="2" t="s">
        <v>1302</v>
      </c>
      <c r="D2" s="5" t="s">
        <v>19</v>
      </c>
      <c r="E2" s="2" t="s">
        <v>20</v>
      </c>
      <c r="F2" s="2">
        <v>16</v>
      </c>
      <c r="G2" s="2" t="s">
        <v>30</v>
      </c>
      <c r="H2" s="2" t="s">
        <v>34</v>
      </c>
      <c r="I2"/>
      <c r="J2" t="s">
        <v>610</v>
      </c>
      <c r="K2" s="2" t="s">
        <v>23</v>
      </c>
      <c r="L2" s="2" t="s">
        <v>24</v>
      </c>
      <c r="M2" s="2" t="s">
        <v>25</v>
      </c>
      <c r="N2" s="2" t="s">
        <v>26</v>
      </c>
      <c r="O2" s="5" t="str">
        <f>"C"&amp;D2</f>
        <v>C0402</v>
      </c>
      <c r="P2" s="2" t="s">
        <v>26</v>
      </c>
      <c r="Q2" s="2" t="str">
        <f>O2&amp;"_RF"</f>
        <v>C0402_RF</v>
      </c>
      <c r="R2" s="2" t="s">
        <v>1303</v>
      </c>
      <c r="S2" s="2" t="str">
        <f>R2</f>
        <v>C-0402-520L103KT16T</v>
      </c>
    </row>
    <row r="3" spans="1:19" s="2" customFormat="1" ht="20.100000000000001" customHeight="1" x14ac:dyDescent="0.25">
      <c r="A3" s="3" t="s">
        <v>1304</v>
      </c>
      <c r="B3" s="34" t="s">
        <v>1305</v>
      </c>
      <c r="C3" s="3" t="s">
        <v>630</v>
      </c>
      <c r="D3" s="5" t="s">
        <v>19</v>
      </c>
      <c r="E3" s="3" t="s">
        <v>1306</v>
      </c>
      <c r="F3" s="2">
        <v>50</v>
      </c>
      <c r="G3" s="3" t="s">
        <v>21</v>
      </c>
      <c r="H3" s="3" t="s">
        <v>1307</v>
      </c>
      <c r="I3" s="3"/>
      <c r="J3" t="s">
        <v>610</v>
      </c>
      <c r="K3" s="3" t="s">
        <v>23</v>
      </c>
      <c r="L3" s="2" t="s">
        <v>24</v>
      </c>
      <c r="M3" s="2" t="s">
        <v>25</v>
      </c>
      <c r="N3" s="2" t="s">
        <v>26</v>
      </c>
      <c r="O3" s="5" t="str">
        <f t="shared" ref="O3:O17" si="0">"C"&amp;D3</f>
        <v>C0402</v>
      </c>
      <c r="P3" s="2" t="s">
        <v>26</v>
      </c>
      <c r="Q3" s="2" t="str">
        <f t="shared" ref="Q3:Q16" si="1">O3&amp;"_RF"</f>
        <v>C0402_RF</v>
      </c>
      <c r="R3" s="2" t="str">
        <f t="shared" ref="R3:R16" si="2">"C-"&amp;D3&amp;"-"&amp;G3&amp;"-"&amp;F3&amp;"-"&amp;E3&amp;" "&amp;IF(H3="±0,03","A",IF(H3="±0,1","B",IF(H3="±0,25","C",IF(H3="±0,5","D",IF(H3="±1%","F",IF(H3="±2%","G",IF(H3="±5%","J",IF(H3="±10%","K",IF(H3="±20%","M","")))))))))</f>
        <v>C-0402-NP0-50-0.15pF A</v>
      </c>
      <c r="S3" s="2" t="str">
        <f t="shared" ref="S3:S16" si="3">R3</f>
        <v>C-0402-NP0-50-0.15pF A</v>
      </c>
    </row>
    <row r="4" spans="1:19" s="2" customFormat="1" ht="20.100000000000001" customHeight="1" x14ac:dyDescent="0.25">
      <c r="A4" s="2" t="s">
        <v>1308</v>
      </c>
      <c r="B4" s="34" t="s">
        <v>1309</v>
      </c>
      <c r="C4" s="3" t="s">
        <v>630</v>
      </c>
      <c r="D4" s="5" t="s">
        <v>19</v>
      </c>
      <c r="E4" s="3" t="s">
        <v>1310</v>
      </c>
      <c r="F4" s="2">
        <v>50</v>
      </c>
      <c r="G4" s="3" t="s">
        <v>21</v>
      </c>
      <c r="H4" s="3" t="s">
        <v>1311</v>
      </c>
      <c r="I4" s="3"/>
      <c r="J4" t="s">
        <v>610</v>
      </c>
      <c r="K4" s="3" t="s">
        <v>23</v>
      </c>
      <c r="L4" s="2" t="s">
        <v>24</v>
      </c>
      <c r="M4" s="2" t="s">
        <v>25</v>
      </c>
      <c r="N4" s="2" t="s">
        <v>26</v>
      </c>
      <c r="O4" s="5" t="str">
        <f t="shared" si="0"/>
        <v>C0402</v>
      </c>
      <c r="P4" s="2" t="s">
        <v>26</v>
      </c>
      <c r="Q4" s="2" t="str">
        <f t="shared" si="1"/>
        <v>C0402_RF</v>
      </c>
      <c r="R4" s="2" t="str">
        <f t="shared" si="2"/>
        <v>C-0402-NP0-50-6pF B</v>
      </c>
      <c r="S4" s="2" t="str">
        <f t="shared" si="3"/>
        <v>C-0402-NP0-50-6pF B</v>
      </c>
    </row>
    <row r="5" spans="1:19" s="2" customFormat="1" ht="20.100000000000001" customHeight="1" x14ac:dyDescent="0.25">
      <c r="A5" s="2" t="s">
        <v>120</v>
      </c>
      <c r="B5" s="34" t="s">
        <v>121</v>
      </c>
      <c r="C5" s="3" t="s">
        <v>630</v>
      </c>
      <c r="D5" s="5" t="s">
        <v>19</v>
      </c>
      <c r="E5" s="3" t="s">
        <v>122</v>
      </c>
      <c r="F5" s="2">
        <v>50</v>
      </c>
      <c r="G5" s="3" t="s">
        <v>21</v>
      </c>
      <c r="H5" s="3" t="s">
        <v>1311</v>
      </c>
      <c r="I5" s="3"/>
      <c r="J5" t="s">
        <v>610</v>
      </c>
      <c r="K5" s="3" t="s">
        <v>23</v>
      </c>
      <c r="L5" s="2" t="s">
        <v>24</v>
      </c>
      <c r="M5" s="2" t="s">
        <v>25</v>
      </c>
      <c r="N5" s="2" t="s">
        <v>26</v>
      </c>
      <c r="O5" s="5" t="str">
        <f t="shared" si="0"/>
        <v>C0402</v>
      </c>
      <c r="P5" s="2" t="s">
        <v>26</v>
      </c>
      <c r="Q5" s="2" t="str">
        <f t="shared" si="1"/>
        <v>C0402_RF</v>
      </c>
      <c r="R5" s="2" t="str">
        <f t="shared" si="2"/>
        <v>C-0402-NP0-50-4.7pF B</v>
      </c>
      <c r="S5" s="2" t="str">
        <f t="shared" si="3"/>
        <v>C-0402-NP0-50-4.7pF B</v>
      </c>
    </row>
    <row r="6" spans="1:19" s="2" customFormat="1" ht="20.100000000000001" customHeight="1" x14ac:dyDescent="0.25">
      <c r="A6" s="2" t="s">
        <v>1312</v>
      </c>
      <c r="B6" s="35" t="s">
        <v>1313</v>
      </c>
      <c r="C6" s="2" t="s">
        <v>1302</v>
      </c>
      <c r="D6" s="5" t="s">
        <v>19</v>
      </c>
      <c r="E6" s="3" t="s">
        <v>33</v>
      </c>
      <c r="F6" s="2">
        <v>16</v>
      </c>
      <c r="G6" s="8" t="s">
        <v>37</v>
      </c>
      <c r="H6" s="3" t="s">
        <v>34</v>
      </c>
      <c r="I6" s="3"/>
      <c r="J6" t="s">
        <v>610</v>
      </c>
      <c r="K6" s="3" t="s">
        <v>23</v>
      </c>
      <c r="L6" s="2" t="s">
        <v>24</v>
      </c>
      <c r="M6" s="2" t="s">
        <v>25</v>
      </c>
      <c r="N6" s="2" t="s">
        <v>26</v>
      </c>
      <c r="O6" s="5" t="str">
        <f t="shared" si="0"/>
        <v>C0402</v>
      </c>
      <c r="P6" s="2" t="s">
        <v>26</v>
      </c>
      <c r="Q6" s="2" t="str">
        <f t="shared" si="1"/>
        <v>C0402_RF</v>
      </c>
      <c r="R6" s="2" t="s">
        <v>1314</v>
      </c>
      <c r="S6" s="2" t="str">
        <f t="shared" si="3"/>
        <v>C-0402-550L104KTT</v>
      </c>
    </row>
    <row r="7" spans="1:19" s="2" customFormat="1" ht="20.100000000000001" customHeight="1" x14ac:dyDescent="0.25">
      <c r="A7" s="3" t="s">
        <v>17</v>
      </c>
      <c r="B7" s="34" t="s">
        <v>18</v>
      </c>
      <c r="C7" s="3" t="s">
        <v>630</v>
      </c>
      <c r="D7" s="2" t="s">
        <v>19</v>
      </c>
      <c r="E7" s="3" t="s">
        <v>20</v>
      </c>
      <c r="F7" s="2">
        <v>50</v>
      </c>
      <c r="G7" s="3" t="s">
        <v>21</v>
      </c>
      <c r="H7" s="3" t="s">
        <v>22</v>
      </c>
      <c r="I7" s="3"/>
      <c r="J7" t="s">
        <v>610</v>
      </c>
      <c r="K7" s="3" t="s">
        <v>23</v>
      </c>
      <c r="L7" s="2" t="s">
        <v>24</v>
      </c>
      <c r="M7" s="2" t="s">
        <v>25</v>
      </c>
      <c r="N7" s="2" t="s">
        <v>26</v>
      </c>
      <c r="O7" s="5" t="str">
        <f t="shared" si="0"/>
        <v>C0402</v>
      </c>
      <c r="P7" s="2" t="s">
        <v>26</v>
      </c>
      <c r="Q7" s="2" t="str">
        <f t="shared" si="1"/>
        <v>C0402_RF</v>
      </c>
      <c r="R7" s="2" t="str">
        <f t="shared" si="2"/>
        <v>C-0402-NP0-50-0.01uF J</v>
      </c>
      <c r="S7" s="2" t="str">
        <f t="shared" si="3"/>
        <v>C-0402-NP0-50-0.01uF J</v>
      </c>
    </row>
    <row r="8" spans="1:19" s="2" customFormat="1" ht="20.100000000000001" customHeight="1" x14ac:dyDescent="0.25">
      <c r="A8" s="3" t="s">
        <v>48</v>
      </c>
      <c r="B8" s="34" t="s">
        <v>49</v>
      </c>
      <c r="C8" s="3" t="s">
        <v>630</v>
      </c>
      <c r="D8" s="5" t="s">
        <v>19</v>
      </c>
      <c r="E8" s="3" t="s">
        <v>50</v>
      </c>
      <c r="F8" s="2">
        <v>50</v>
      </c>
      <c r="G8" s="3" t="s">
        <v>21</v>
      </c>
      <c r="H8" s="3" t="s">
        <v>22</v>
      </c>
      <c r="I8" s="3"/>
      <c r="J8" t="s">
        <v>610</v>
      </c>
      <c r="K8" s="3" t="s">
        <v>23</v>
      </c>
      <c r="L8" s="2" t="s">
        <v>24</v>
      </c>
      <c r="M8" s="2" t="s">
        <v>25</v>
      </c>
      <c r="N8" s="2" t="s">
        <v>26</v>
      </c>
      <c r="O8" s="5" t="str">
        <f t="shared" si="0"/>
        <v>C0402</v>
      </c>
      <c r="P8" s="2" t="s">
        <v>26</v>
      </c>
      <c r="Q8" s="2" t="str">
        <f t="shared" si="1"/>
        <v>C0402_RF</v>
      </c>
      <c r="R8" s="2" t="str">
        <f t="shared" si="2"/>
        <v>C-0402-NP0-50-1000pF J</v>
      </c>
      <c r="S8" s="2" t="str">
        <f t="shared" si="3"/>
        <v>C-0402-NP0-50-1000pF J</v>
      </c>
    </row>
    <row r="9" spans="1:19" s="2" customFormat="1" ht="20.100000000000001" customHeight="1" x14ac:dyDescent="0.25">
      <c r="A9" s="2" t="s">
        <v>51</v>
      </c>
      <c r="B9" s="34" t="s">
        <v>1315</v>
      </c>
      <c r="C9" s="3" t="s">
        <v>630</v>
      </c>
      <c r="D9" s="2" t="s">
        <v>19</v>
      </c>
      <c r="E9" s="3" t="s">
        <v>53</v>
      </c>
      <c r="F9" s="3">
        <v>50</v>
      </c>
      <c r="G9" s="3" t="s">
        <v>21</v>
      </c>
      <c r="H9" s="3" t="s">
        <v>54</v>
      </c>
      <c r="I9" s="3"/>
      <c r="J9" t="s">
        <v>610</v>
      </c>
      <c r="K9" s="4" t="s">
        <v>23</v>
      </c>
      <c r="L9" s="2" t="s">
        <v>24</v>
      </c>
      <c r="M9" s="2" t="s">
        <v>25</v>
      </c>
      <c r="N9" s="2" t="s">
        <v>26</v>
      </c>
      <c r="O9" s="5" t="str">
        <f t="shared" si="0"/>
        <v>C0402</v>
      </c>
      <c r="P9" s="2" t="s">
        <v>26</v>
      </c>
      <c r="Q9" s="2" t="str">
        <f t="shared" si="1"/>
        <v>C0402_RF</v>
      </c>
      <c r="R9" s="2" t="str">
        <f t="shared" si="2"/>
        <v>C-0402-NP0-50-100pF G</v>
      </c>
      <c r="S9" s="2" t="str">
        <f t="shared" si="3"/>
        <v>C-0402-NP0-50-100pF G</v>
      </c>
    </row>
    <row r="10" spans="1:19" s="2" customFormat="1" ht="20.100000000000001" customHeight="1" x14ac:dyDescent="0.25">
      <c r="A10" s="2" t="s">
        <v>55</v>
      </c>
      <c r="B10" s="34" t="s">
        <v>1316</v>
      </c>
      <c r="C10" s="3" t="s">
        <v>630</v>
      </c>
      <c r="D10" s="5" t="s">
        <v>19</v>
      </c>
      <c r="E10" s="2" t="s">
        <v>57</v>
      </c>
      <c r="F10" s="2">
        <v>50</v>
      </c>
      <c r="G10" s="3" t="s">
        <v>21</v>
      </c>
      <c r="H10" s="3" t="s">
        <v>22</v>
      </c>
      <c r="I10" s="3"/>
      <c r="J10" t="s">
        <v>610</v>
      </c>
      <c r="K10" s="3" t="s">
        <v>23</v>
      </c>
      <c r="L10" s="2" t="s">
        <v>24</v>
      </c>
      <c r="M10" s="2" t="s">
        <v>25</v>
      </c>
      <c r="N10" s="2" t="s">
        <v>26</v>
      </c>
      <c r="O10" s="5" t="str">
        <f t="shared" si="0"/>
        <v>C0402</v>
      </c>
      <c r="P10" s="2" t="s">
        <v>26</v>
      </c>
      <c r="Q10" s="2" t="str">
        <f t="shared" si="1"/>
        <v>C0402_RF</v>
      </c>
      <c r="R10" s="2" t="str">
        <f t="shared" si="2"/>
        <v>C-0402-NP0-50-10pF J</v>
      </c>
      <c r="S10" s="2" t="str">
        <f t="shared" si="3"/>
        <v>C-0402-NP0-50-10pF J</v>
      </c>
    </row>
    <row r="11" spans="1:19" s="2" customFormat="1" ht="20.100000000000001" customHeight="1" x14ac:dyDescent="0.25">
      <c r="A11" s="2" t="s">
        <v>95</v>
      </c>
      <c r="B11" s="34" t="s">
        <v>96</v>
      </c>
      <c r="C11" s="3" t="s">
        <v>630</v>
      </c>
      <c r="D11" s="5" t="s">
        <v>19</v>
      </c>
      <c r="E11" s="3" t="s">
        <v>97</v>
      </c>
      <c r="F11" s="2">
        <v>50</v>
      </c>
      <c r="G11" s="3" t="s">
        <v>21</v>
      </c>
      <c r="H11" s="3" t="s">
        <v>22</v>
      </c>
      <c r="I11" s="3"/>
      <c r="J11" t="s">
        <v>610</v>
      </c>
      <c r="K11" s="3" t="s">
        <v>23</v>
      </c>
      <c r="L11" s="2" t="s">
        <v>24</v>
      </c>
      <c r="M11" s="2" t="s">
        <v>25</v>
      </c>
      <c r="N11" s="2" t="s">
        <v>26</v>
      </c>
      <c r="O11" s="5" t="str">
        <f t="shared" si="0"/>
        <v>C0402</v>
      </c>
      <c r="P11" s="2" t="s">
        <v>26</v>
      </c>
      <c r="Q11" s="2" t="str">
        <f t="shared" si="1"/>
        <v>C0402_RF</v>
      </c>
      <c r="R11" s="2" t="str">
        <f t="shared" si="2"/>
        <v>C-0402-NP0-50-390pF J</v>
      </c>
      <c r="S11" s="2" t="str">
        <f t="shared" si="3"/>
        <v>C-0402-NP0-50-390pF J</v>
      </c>
    </row>
    <row r="12" spans="1:19" s="2" customFormat="1" ht="20.100000000000001" customHeight="1" x14ac:dyDescent="0.25">
      <c r="A12" s="2" t="s">
        <v>98</v>
      </c>
      <c r="B12" s="34" t="s">
        <v>1317</v>
      </c>
      <c r="C12" s="3" t="s">
        <v>630</v>
      </c>
      <c r="D12" s="5" t="s">
        <v>19</v>
      </c>
      <c r="E12" s="3" t="s">
        <v>100</v>
      </c>
      <c r="F12" s="2">
        <v>50</v>
      </c>
      <c r="G12" s="3" t="s">
        <v>21</v>
      </c>
      <c r="H12" s="3" t="s">
        <v>22</v>
      </c>
      <c r="I12" s="3"/>
      <c r="J12" t="s">
        <v>610</v>
      </c>
      <c r="K12" s="3" t="s">
        <v>23</v>
      </c>
      <c r="L12" s="2" t="s">
        <v>24</v>
      </c>
      <c r="M12" s="2" t="s">
        <v>25</v>
      </c>
      <c r="N12" s="2" t="s">
        <v>26</v>
      </c>
      <c r="O12" s="5" t="str">
        <f t="shared" si="0"/>
        <v>C0402</v>
      </c>
      <c r="P12" s="2" t="s">
        <v>26</v>
      </c>
      <c r="Q12" s="2" t="str">
        <f t="shared" si="1"/>
        <v>C0402_RF</v>
      </c>
      <c r="R12" s="2" t="str">
        <f t="shared" si="2"/>
        <v>C-0402-NP0-50-39pF J</v>
      </c>
      <c r="S12" s="2" t="str">
        <f t="shared" si="3"/>
        <v>C-0402-NP0-50-39pF J</v>
      </c>
    </row>
    <row r="13" spans="1:19" s="2" customFormat="1" ht="20.100000000000001" customHeight="1" x14ac:dyDescent="0.25">
      <c r="A13" s="2" t="s">
        <v>1318</v>
      </c>
      <c r="B13" s="34" t="s">
        <v>1319</v>
      </c>
      <c r="C13" s="3" t="s">
        <v>630</v>
      </c>
      <c r="D13" s="5" t="s">
        <v>19</v>
      </c>
      <c r="E13" s="3" t="s">
        <v>1320</v>
      </c>
      <c r="F13" s="2">
        <v>50</v>
      </c>
      <c r="G13" s="3" t="s">
        <v>21</v>
      </c>
      <c r="H13" s="3" t="s">
        <v>22</v>
      </c>
      <c r="I13" s="3"/>
      <c r="J13" t="s">
        <v>610</v>
      </c>
      <c r="K13" s="3" t="s">
        <v>23</v>
      </c>
      <c r="L13" s="2" t="s">
        <v>24</v>
      </c>
      <c r="M13" s="2" t="s">
        <v>25</v>
      </c>
      <c r="N13" s="2" t="s">
        <v>26</v>
      </c>
      <c r="O13" s="5" t="str">
        <f t="shared" si="0"/>
        <v>C0402</v>
      </c>
      <c r="P13" s="2" t="s">
        <v>26</v>
      </c>
      <c r="Q13" s="2" t="str">
        <f t="shared" si="1"/>
        <v>C0402_RF</v>
      </c>
      <c r="R13" s="2" t="str">
        <f t="shared" si="2"/>
        <v>C-0402-NP0-50-680pF J</v>
      </c>
      <c r="S13" s="2" t="str">
        <f t="shared" si="3"/>
        <v>C-0402-NP0-50-680pF J</v>
      </c>
    </row>
    <row r="14" spans="1:19" s="2" customFormat="1" ht="20.100000000000001" customHeight="1" x14ac:dyDescent="0.25">
      <c r="A14" s="2" t="s">
        <v>1321</v>
      </c>
      <c r="B14" s="34" t="s">
        <v>1322</v>
      </c>
      <c r="C14" s="3" t="s">
        <v>630</v>
      </c>
      <c r="D14" s="5" t="s">
        <v>19</v>
      </c>
      <c r="E14" s="3" t="s">
        <v>1323</v>
      </c>
      <c r="F14" s="2">
        <v>50</v>
      </c>
      <c r="G14" s="3" t="s">
        <v>21</v>
      </c>
      <c r="H14" s="3" t="s">
        <v>1311</v>
      </c>
      <c r="I14" s="3"/>
      <c r="J14" t="s">
        <v>610</v>
      </c>
      <c r="K14" s="3" t="s">
        <v>23</v>
      </c>
      <c r="L14" s="2" t="s">
        <v>24</v>
      </c>
      <c r="M14" s="2" t="s">
        <v>25</v>
      </c>
      <c r="N14" s="2" t="s">
        <v>26</v>
      </c>
      <c r="O14" s="5" t="str">
        <f t="shared" si="0"/>
        <v>C0402</v>
      </c>
      <c r="P14" s="2" t="s">
        <v>26</v>
      </c>
      <c r="Q14" s="2" t="str">
        <f t="shared" si="1"/>
        <v>C0402_RF</v>
      </c>
      <c r="R14" s="2" t="str">
        <f t="shared" si="2"/>
        <v>C-0402-NP0-50-5.6pF B</v>
      </c>
      <c r="S14" s="2" t="str">
        <f t="shared" si="3"/>
        <v>C-0402-NP0-50-5.6pF B</v>
      </c>
    </row>
    <row r="15" spans="1:19" s="2" customFormat="1" ht="20.100000000000001" customHeight="1" x14ac:dyDescent="0.25">
      <c r="A15" s="2" t="s">
        <v>1324</v>
      </c>
      <c r="B15" s="34" t="s">
        <v>1325</v>
      </c>
      <c r="C15" s="3" t="s">
        <v>630</v>
      </c>
      <c r="D15" s="5" t="s">
        <v>19</v>
      </c>
      <c r="E15" s="3" t="s">
        <v>1326</v>
      </c>
      <c r="F15" s="2">
        <v>50</v>
      </c>
      <c r="G15" s="3" t="s">
        <v>21</v>
      </c>
      <c r="H15" s="3" t="s">
        <v>22</v>
      </c>
      <c r="I15" s="3"/>
      <c r="J15" t="s">
        <v>610</v>
      </c>
      <c r="K15" s="3" t="s">
        <v>23</v>
      </c>
      <c r="L15" s="2" t="s">
        <v>24</v>
      </c>
      <c r="M15" s="2" t="s">
        <v>25</v>
      </c>
      <c r="N15" s="2" t="s">
        <v>26</v>
      </c>
      <c r="O15" s="5" t="str">
        <f t="shared" si="0"/>
        <v>C0402</v>
      </c>
      <c r="P15" s="2" t="s">
        <v>26</v>
      </c>
      <c r="Q15" s="2" t="str">
        <f t="shared" si="1"/>
        <v>C0402_RF</v>
      </c>
      <c r="R15" s="2" t="str">
        <f t="shared" si="2"/>
        <v>C-0402-NP0-50-18pF J</v>
      </c>
      <c r="S15" s="2" t="str">
        <f t="shared" si="3"/>
        <v>C-0402-NP0-50-18pF J</v>
      </c>
    </row>
    <row r="16" spans="1:19" s="2" customFormat="1" ht="20.100000000000001" customHeight="1" x14ac:dyDescent="0.25">
      <c r="A16" s="2" t="s">
        <v>1327</v>
      </c>
      <c r="B16" s="34" t="s">
        <v>1328</v>
      </c>
      <c r="C16" s="3" t="s">
        <v>630</v>
      </c>
      <c r="D16" s="5" t="s">
        <v>19</v>
      </c>
      <c r="E16" s="3" t="s">
        <v>1329</v>
      </c>
      <c r="F16" s="2">
        <v>50</v>
      </c>
      <c r="G16" s="3" t="s">
        <v>21</v>
      </c>
      <c r="H16" s="3" t="s">
        <v>22</v>
      </c>
      <c r="I16" s="3"/>
      <c r="J16" t="s">
        <v>610</v>
      </c>
      <c r="K16" s="3" t="s">
        <v>23</v>
      </c>
      <c r="L16" s="2" t="s">
        <v>24</v>
      </c>
      <c r="M16" s="2" t="s">
        <v>25</v>
      </c>
      <c r="N16" s="2" t="s">
        <v>26</v>
      </c>
      <c r="O16" s="5" t="str">
        <f t="shared" si="0"/>
        <v>C0402</v>
      </c>
      <c r="P16" s="2" t="s">
        <v>26</v>
      </c>
      <c r="Q16" s="2" t="str">
        <f t="shared" si="1"/>
        <v>C0402_RF</v>
      </c>
      <c r="R16" s="2" t="str">
        <f t="shared" si="2"/>
        <v>C-0402-NP0-50-22pF J</v>
      </c>
      <c r="S16" s="2" t="str">
        <f t="shared" si="3"/>
        <v>C-0402-NP0-50-22pF J</v>
      </c>
    </row>
    <row r="17" spans="1:19" s="2" customFormat="1" ht="20.100000000000001" customHeight="1" x14ac:dyDescent="0.25">
      <c r="A17" s="37" t="s">
        <v>1461</v>
      </c>
      <c r="B17" s="2" t="s">
        <v>1462</v>
      </c>
      <c r="C17" s="5" t="s">
        <v>1302</v>
      </c>
      <c r="D17" s="39" t="s">
        <v>90</v>
      </c>
      <c r="E17" s="37" t="s">
        <v>53</v>
      </c>
      <c r="F17" s="2">
        <v>250</v>
      </c>
      <c r="G17" s="3" t="s">
        <v>21</v>
      </c>
      <c r="H17" s="3" t="s">
        <v>22</v>
      </c>
      <c r="J17" t="s">
        <v>610</v>
      </c>
      <c r="K17" s="3" t="s">
        <v>23</v>
      </c>
      <c r="L17" s="5" t="s">
        <v>24</v>
      </c>
      <c r="M17" s="5" t="s">
        <v>25</v>
      </c>
      <c r="N17" s="5" t="s">
        <v>26</v>
      </c>
      <c r="O17" s="5" t="str">
        <f t="shared" si="0"/>
        <v>C0603</v>
      </c>
      <c r="P17" s="5" t="s">
        <v>26</v>
      </c>
      <c r="Q17" s="5" t="str">
        <f t="shared" ref="Q17" si="4">O17&amp;"_RF"</f>
        <v>C0603_RF</v>
      </c>
      <c r="R17" s="37" t="s">
        <v>1463</v>
      </c>
      <c r="S17" s="5" t="str">
        <f t="shared" ref="S17" si="5">R17</f>
        <v>C-0603-600S101JW250X</v>
      </c>
    </row>
    <row r="18" spans="1:19" s="2" customFormat="1" ht="20.100000000000001" customHeight="1" x14ac:dyDescent="0.25"/>
    <row r="19" spans="1:19" s="2" customFormat="1" ht="20.100000000000001" customHeight="1" x14ac:dyDescent="0.25"/>
  </sheetData>
  <conditionalFormatting sqref="O2:O17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8"/>
  <sheetViews>
    <sheetView showGridLines="0" topLeftCell="A86" zoomScaleNormal="100" workbookViewId="0">
      <selection activeCell="I113" sqref="I113"/>
    </sheetView>
  </sheetViews>
  <sheetFormatPr defaultColWidth="11" defaultRowHeight="15.75" x14ac:dyDescent="0.25"/>
  <cols>
    <col min="1" max="1" width="22" style="1" customWidth="1"/>
    <col min="2" max="2" width="48.25" style="1" customWidth="1"/>
    <col min="3" max="3" width="14.5" style="1" customWidth="1"/>
    <col min="4" max="4" width="9.875" style="1" customWidth="1"/>
    <col min="5" max="5" width="7.625" style="1" customWidth="1"/>
    <col min="6" max="6" width="11.25" customWidth="1"/>
    <col min="7" max="7" width="27.875" style="1" customWidth="1"/>
    <col min="8" max="8" width="11.75" style="1" customWidth="1"/>
    <col min="9" max="9" width="35.625" style="1" customWidth="1"/>
    <col min="10" max="10" width="21" style="33" customWidth="1"/>
    <col min="11" max="11" width="23" style="1" customWidth="1"/>
    <col min="12" max="12" width="24.5" style="1" customWidth="1"/>
    <col min="13" max="16384" width="11" style="1"/>
  </cols>
  <sheetData>
    <row r="1" spans="1:1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</v>
      </c>
      <c r="G1" s="11" t="s">
        <v>9</v>
      </c>
      <c r="H1" s="11" t="s">
        <v>10</v>
      </c>
      <c r="I1" s="11" t="s">
        <v>156</v>
      </c>
      <c r="J1" s="12" t="s">
        <v>157</v>
      </c>
      <c r="K1" s="20" t="s">
        <v>15</v>
      </c>
      <c r="L1" s="20" t="s">
        <v>158</v>
      </c>
    </row>
    <row r="2" spans="1:12" x14ac:dyDescent="0.25">
      <c r="A2" s="11" t="s">
        <v>316</v>
      </c>
      <c r="B2" s="3" t="s">
        <v>317</v>
      </c>
      <c r="C2" s="11" t="s">
        <v>318</v>
      </c>
      <c r="D2" s="5" t="s">
        <v>19</v>
      </c>
      <c r="E2" s="11" t="s">
        <v>319</v>
      </c>
      <c r="F2" s="21" t="s">
        <v>320</v>
      </c>
      <c r="G2" s="11" t="s">
        <v>321</v>
      </c>
      <c r="H2" s="11" t="s">
        <v>322</v>
      </c>
      <c r="I2" s="11" t="s">
        <v>323</v>
      </c>
      <c r="J2" s="12" t="str">
        <f>"R"&amp;D2</f>
        <v>R0402</v>
      </c>
      <c r="K2" s="12" t="str">
        <f>"R-"&amp;D2&amp;"-"&amp;E2&amp;" "&amp;IF(F2="±0,03","A",IF(F2="±0,1","B",IF(F2="±0,25","C",IF(F2="±0,5","D",IF(F2="±1%","F",IF(F2="±2%","G",IF(F2="±5%","J",IF(F2="±10%","K",IF(F2="±20%","M","")))))))))</f>
        <v>R-0402-0R F</v>
      </c>
      <c r="L2" s="11" t="str">
        <f>K2</f>
        <v>R-0402-0R F</v>
      </c>
    </row>
    <row r="3" spans="1:12" x14ac:dyDescent="0.25">
      <c r="A3" s="11" t="s">
        <v>324</v>
      </c>
      <c r="B3" s="3" t="s">
        <v>325</v>
      </c>
      <c r="C3" s="11" t="s">
        <v>318</v>
      </c>
      <c r="D3" s="11" t="s">
        <v>60</v>
      </c>
      <c r="E3" s="11" t="s">
        <v>319</v>
      </c>
      <c r="F3" s="21" t="s">
        <v>320</v>
      </c>
      <c r="G3" s="11" t="s">
        <v>321</v>
      </c>
      <c r="H3" s="11" t="s">
        <v>322</v>
      </c>
      <c r="I3" s="11" t="s">
        <v>323</v>
      </c>
      <c r="J3" s="12" t="str">
        <f>"R"&amp;D3</f>
        <v>R0805</v>
      </c>
      <c r="K3" s="12" t="str">
        <f>"R-"&amp;D3&amp;"-"&amp;E3&amp;" "&amp;IF(F3="±0,03","A",IF(F3="±0,1","B",IF(F3="±0,25","C",IF(F3="±0,5","D",IF(F3="±1%","F",IF(F3="±2%","G",IF(F3="±5%","J",IF(F3="±10%","K",IF(F3="±20%","M","")))))))))</f>
        <v>R-0805-0R F</v>
      </c>
      <c r="L3" s="11" t="str">
        <f>K3</f>
        <v>R-0805-0R F</v>
      </c>
    </row>
    <row r="4" spans="1:12" x14ac:dyDescent="0.25">
      <c r="A4" s="11" t="s">
        <v>526</v>
      </c>
      <c r="B4" s="3" t="s">
        <v>527</v>
      </c>
      <c r="C4" s="11" t="s">
        <v>318</v>
      </c>
      <c r="D4" s="11" t="s">
        <v>129</v>
      </c>
      <c r="E4" s="11" t="s">
        <v>319</v>
      </c>
      <c r="F4" s="21" t="s">
        <v>320</v>
      </c>
      <c r="G4" s="11" t="s">
        <v>321</v>
      </c>
      <c r="H4" s="11" t="s">
        <v>322</v>
      </c>
      <c r="I4" s="11" t="s">
        <v>323</v>
      </c>
      <c r="J4" s="12" t="str">
        <f>"R"&amp;D4</f>
        <v>R0201</v>
      </c>
      <c r="K4" s="12" t="str">
        <f>"R-"&amp;D4&amp;"-"&amp;E4&amp;" "&amp;IF(F4="±0,03","A",IF(F4="±0,1","B",IF(F4="±0,25","C",IF(F4="±0,5","D",IF(F4="±1%","F",IF(F4="±2%","G",IF(F4="±5%","J",IF(F4="±10%","K",IF(F4="±20%","M","")))))))))</f>
        <v>R-0201-0R F</v>
      </c>
      <c r="L4" s="11" t="str">
        <f>K4</f>
        <v>R-0201-0R F</v>
      </c>
    </row>
    <row r="5" spans="1:12" x14ac:dyDescent="0.25">
      <c r="A5" s="11" t="s">
        <v>600</v>
      </c>
      <c r="B5" s="13" t="s">
        <v>601</v>
      </c>
      <c r="C5" s="11" t="s">
        <v>602</v>
      </c>
      <c r="D5" s="11" t="s">
        <v>603</v>
      </c>
      <c r="E5" s="11" t="s">
        <v>604</v>
      </c>
      <c r="F5" s="21" t="s">
        <v>320</v>
      </c>
      <c r="G5" s="11" t="s">
        <v>321</v>
      </c>
      <c r="H5" s="11" t="s">
        <v>322</v>
      </c>
      <c r="I5" s="11" t="s">
        <v>323</v>
      </c>
      <c r="J5" s="12" t="str">
        <f>"R"&amp;D5</f>
        <v>R1206</v>
      </c>
      <c r="K5" s="12" t="str">
        <f>"R-"&amp;D5&amp;"-"&amp;E5&amp;" "&amp;IF(F5="±0,03","A",IF(F5="±0,1","B",IF(F5="±0,25","C",IF(F5="±0,5","D",IF(F5="±1%","F",IF(F5="±2%","G",IF(F5="±5%","J",IF(F5="±10%","K",IF(F5="±20%","M","")))))))))</f>
        <v>R-1206-0R05 F</v>
      </c>
      <c r="L5" s="11" t="str">
        <f>K5</f>
        <v>R-1206-0R05 F</v>
      </c>
    </row>
    <row r="6" spans="1:12" x14ac:dyDescent="0.25">
      <c r="A6" s="11" t="s">
        <v>326</v>
      </c>
      <c r="B6" s="3" t="s">
        <v>327</v>
      </c>
      <c r="C6" s="11" t="s">
        <v>318</v>
      </c>
      <c r="D6" s="5" t="s">
        <v>19</v>
      </c>
      <c r="E6" s="11" t="s">
        <v>328</v>
      </c>
      <c r="F6" s="21" t="s">
        <v>320</v>
      </c>
      <c r="G6" s="11" t="s">
        <v>321</v>
      </c>
      <c r="H6" s="11" t="s">
        <v>322</v>
      </c>
      <c r="I6" s="11" t="s">
        <v>323</v>
      </c>
      <c r="J6" s="12" t="str">
        <f>"R"&amp;D6</f>
        <v>R0402</v>
      </c>
      <c r="K6" s="12" t="str">
        <f>"R-"&amp;D6&amp;"-"&amp;E6&amp;" "&amp;IF(F6="±0,03","A",IF(F6="±0,1","B",IF(F6="±0,25","C",IF(F6="±0,5","D",IF(F6="±1%","F",IF(F6="±2%","G",IF(F6="±5%","J",IF(F6="±10%","K",IF(F6="±20%","M","")))))))))</f>
        <v>R-0402-100K F</v>
      </c>
      <c r="L6" s="11" t="str">
        <f>K6</f>
        <v>R-0402-100K F</v>
      </c>
    </row>
    <row r="7" spans="1:12" x14ac:dyDescent="0.25">
      <c r="A7" s="11" t="s">
        <v>329</v>
      </c>
      <c r="B7" s="3" t="s">
        <v>330</v>
      </c>
      <c r="C7" s="11" t="s">
        <v>318</v>
      </c>
      <c r="D7" s="5" t="s">
        <v>19</v>
      </c>
      <c r="E7" s="11" t="s">
        <v>331</v>
      </c>
      <c r="F7" s="21" t="s">
        <v>320</v>
      </c>
      <c r="G7" s="11" t="s">
        <v>321</v>
      </c>
      <c r="H7" s="11" t="s">
        <v>322</v>
      </c>
      <c r="I7" s="11" t="s">
        <v>323</v>
      </c>
      <c r="J7" s="12" t="str">
        <f>"R"&amp;D7</f>
        <v>R0402</v>
      </c>
      <c r="K7" s="12" t="str">
        <f>"R-"&amp;D7&amp;"-"&amp;E7&amp;" "&amp;IF(F7="±0,03","A",IF(F7="±0,1","B",IF(F7="±0,25","C",IF(F7="±0,5","D",IF(F7="±1%","F",IF(F7="±2%","G",IF(F7="±5%","J",IF(F7="±10%","K",IF(F7="±20%","M","")))))))))</f>
        <v>R-0402-100R F</v>
      </c>
      <c r="L7" s="11" t="str">
        <f>K7</f>
        <v>R-0402-100R F</v>
      </c>
    </row>
    <row r="8" spans="1:12" x14ac:dyDescent="0.25">
      <c r="A8" s="11" t="s">
        <v>459</v>
      </c>
      <c r="B8" s="3" t="s">
        <v>460</v>
      </c>
      <c r="C8" s="11" t="s">
        <v>318</v>
      </c>
      <c r="D8" s="11" t="s">
        <v>129</v>
      </c>
      <c r="E8" s="11" t="s">
        <v>331</v>
      </c>
      <c r="F8" s="21" t="s">
        <v>320</v>
      </c>
      <c r="G8" s="11" t="s">
        <v>321</v>
      </c>
      <c r="H8" s="11" t="s">
        <v>322</v>
      </c>
      <c r="I8" s="11" t="s">
        <v>323</v>
      </c>
      <c r="J8" s="12" t="str">
        <f>"R"&amp;D8</f>
        <v>R0201</v>
      </c>
      <c r="K8" s="12" t="str">
        <f>"R-"&amp;D8&amp;"-"&amp;E8&amp;" "&amp;IF(F8="±0,03","A",IF(F8="±0,1","B",IF(F8="±0,25","C",IF(F8="±0,5","D",IF(F8="±1%","F",IF(F8="±2%","G",IF(F8="±5%","J",IF(F8="±10%","K",IF(F8="±20%","M","")))))))))</f>
        <v>R-0201-100R F</v>
      </c>
      <c r="L8" s="11" t="str">
        <f>K8</f>
        <v>R-0201-100R F</v>
      </c>
    </row>
    <row r="9" spans="1:12" x14ac:dyDescent="0.25">
      <c r="A9" s="11" t="s">
        <v>332</v>
      </c>
      <c r="B9" s="3" t="s">
        <v>333</v>
      </c>
      <c r="C9" s="11" t="s">
        <v>318</v>
      </c>
      <c r="D9" s="5" t="s">
        <v>19</v>
      </c>
      <c r="E9" s="11" t="s">
        <v>334</v>
      </c>
      <c r="F9" s="21" t="s">
        <v>320</v>
      </c>
      <c r="G9" s="11" t="s">
        <v>321</v>
      </c>
      <c r="H9" s="11" t="s">
        <v>322</v>
      </c>
      <c r="I9" s="11" t="s">
        <v>323</v>
      </c>
      <c r="J9" s="12" t="str">
        <f>"R"&amp;D9</f>
        <v>R0402</v>
      </c>
      <c r="K9" s="12" t="str">
        <f>"R-"&amp;D9&amp;"-"&amp;E9&amp;" "&amp;IF(F9="±0,03","A",IF(F9="±0,1","B",IF(F9="±0,25","C",IF(F9="±0,5","D",IF(F9="±1%","F",IF(F9="±2%","G",IF(F9="±5%","J",IF(F9="±10%","K",IF(F9="±20%","M","")))))))))</f>
        <v>R-0402-10K F</v>
      </c>
      <c r="L9" s="11" t="str">
        <f>K9</f>
        <v>R-0402-10K F</v>
      </c>
    </row>
    <row r="10" spans="1:12" x14ac:dyDescent="0.25">
      <c r="A10" s="11" t="s">
        <v>540</v>
      </c>
      <c r="B10" s="3" t="s">
        <v>541</v>
      </c>
      <c r="C10" s="11" t="s">
        <v>318</v>
      </c>
      <c r="D10" s="11" t="s">
        <v>129</v>
      </c>
      <c r="E10" s="11" t="s">
        <v>334</v>
      </c>
      <c r="F10" s="21" t="s">
        <v>320</v>
      </c>
      <c r="G10" s="11" t="s">
        <v>321</v>
      </c>
      <c r="H10" s="11" t="s">
        <v>322</v>
      </c>
      <c r="I10" s="11" t="s">
        <v>323</v>
      </c>
      <c r="J10" s="12" t="str">
        <f>"R"&amp;D10</f>
        <v>R0201</v>
      </c>
      <c r="K10" s="12" t="str">
        <f>"R-"&amp;D10&amp;"-"&amp;E10&amp;" "&amp;IF(F10="±0,03","A",IF(F10="±0,1","B",IF(F10="±0,25","C",IF(F10="±0,5","D",IF(F10="±1%","F",IF(F10="±2%","G",IF(F10="±5%","J",IF(F10="±10%","K",IF(F10="±20%","M","")))))))))</f>
        <v>R-0201-10K F</v>
      </c>
      <c r="L10" s="11" t="str">
        <f>K10</f>
        <v>R-0201-10K F</v>
      </c>
    </row>
    <row r="11" spans="1:12" x14ac:dyDescent="0.25">
      <c r="A11" s="11" t="s">
        <v>335</v>
      </c>
      <c r="B11" s="11" t="s">
        <v>336</v>
      </c>
      <c r="C11" s="11" t="s">
        <v>318</v>
      </c>
      <c r="D11" s="11" t="s">
        <v>19</v>
      </c>
      <c r="E11" s="11" t="s">
        <v>337</v>
      </c>
      <c r="F11" s="21" t="s">
        <v>320</v>
      </c>
      <c r="G11" s="11" t="s">
        <v>321</v>
      </c>
      <c r="H11" s="11" t="s">
        <v>322</v>
      </c>
      <c r="I11" s="11" t="s">
        <v>323</v>
      </c>
      <c r="J11" s="12" t="str">
        <f>"R"&amp;D11</f>
        <v>R0402</v>
      </c>
      <c r="K11" s="12" t="str">
        <f>"R-"&amp;D11&amp;"-"&amp;E11&amp;" "&amp;IF(F11="±0,03","A",IF(F11="±0,1","B",IF(F11="±0,25","C",IF(F11="±0,5","D",IF(F11="±1%","F",IF(F11="±2%","G",IF(F11="±5%","J",IF(F11="±10%","K",IF(F11="±20%","M","")))))))))</f>
        <v>R-0402-10K2 F</v>
      </c>
      <c r="L11" s="11" t="str">
        <f>K11</f>
        <v>R-0402-10K2 F</v>
      </c>
    </row>
    <row r="12" spans="1:12" x14ac:dyDescent="0.25">
      <c r="A12" s="11" t="s">
        <v>548</v>
      </c>
      <c r="B12" s="3" t="s">
        <v>549</v>
      </c>
      <c r="C12" s="11" t="s">
        <v>318</v>
      </c>
      <c r="D12" s="5" t="s">
        <v>129</v>
      </c>
      <c r="E12" s="11" t="s">
        <v>550</v>
      </c>
      <c r="F12" s="21" t="s">
        <v>320</v>
      </c>
      <c r="G12" s="11" t="s">
        <v>321</v>
      </c>
      <c r="H12" s="11" t="s">
        <v>322</v>
      </c>
      <c r="I12" s="11" t="s">
        <v>323</v>
      </c>
      <c r="J12" s="12" t="str">
        <f>"R"&amp;D12</f>
        <v>R0201</v>
      </c>
      <c r="K12" s="12" t="str">
        <f>"R-"&amp;D12&amp;"-"&amp;E12&amp;" "&amp;IF(F12="±0,03","A",IF(F12="±0,1","B",IF(F12="±0,25","C",IF(F12="±0,5","D",IF(F12="±1%","F",IF(F12="±2%","G",IF(F12="±5%","J",IF(F12="±10%","K",IF(F12="±20%","M","")))))))))</f>
        <v>R-0201-10K5 F</v>
      </c>
      <c r="L12" s="11" t="str">
        <f>K12</f>
        <v>R-0201-10K5 F</v>
      </c>
    </row>
    <row r="13" spans="1:12" x14ac:dyDescent="0.25">
      <c r="A13" s="11" t="s">
        <v>338</v>
      </c>
      <c r="B13" s="11" t="s">
        <v>339</v>
      </c>
      <c r="C13" s="11" t="s">
        <v>318</v>
      </c>
      <c r="D13" s="5" t="s">
        <v>19</v>
      </c>
      <c r="E13" s="11" t="s">
        <v>340</v>
      </c>
      <c r="F13" s="21" t="s">
        <v>320</v>
      </c>
      <c r="G13" s="11" t="s">
        <v>321</v>
      </c>
      <c r="H13" s="11" t="s">
        <v>322</v>
      </c>
      <c r="I13" s="11" t="s">
        <v>323</v>
      </c>
      <c r="J13" s="12" t="str">
        <f>"R"&amp;D13</f>
        <v>R0402</v>
      </c>
      <c r="K13" s="12" t="str">
        <f>"R-"&amp;D13&amp;"-"&amp;E13&amp;" "&amp;IF(F13="±0,03","A",IF(F13="±0,1","B",IF(F13="±0,25","C",IF(F13="±0,5","D",IF(F13="±1%","F",IF(F13="±2%","G",IF(F13="±5%","J",IF(F13="±10%","K",IF(F13="±20%","M","")))))))))</f>
        <v>R-0402-10K7 F</v>
      </c>
      <c r="L13" s="11" t="str">
        <f>K13</f>
        <v>R-0402-10K7 F</v>
      </c>
    </row>
    <row r="14" spans="1:12" x14ac:dyDescent="0.25">
      <c r="A14" s="11" t="s">
        <v>438</v>
      </c>
      <c r="B14" s="3" t="s">
        <v>439</v>
      </c>
      <c r="C14" s="11" t="s">
        <v>318</v>
      </c>
      <c r="D14" s="5" t="s">
        <v>19</v>
      </c>
      <c r="E14" s="11" t="s">
        <v>440</v>
      </c>
      <c r="F14" s="21" t="s">
        <v>320</v>
      </c>
      <c r="G14" s="11" t="s">
        <v>321</v>
      </c>
      <c r="H14" s="11" t="s">
        <v>322</v>
      </c>
      <c r="I14" s="11" t="s">
        <v>323</v>
      </c>
      <c r="J14" s="12" t="str">
        <f>"R"&amp;D14</f>
        <v>R0402</v>
      </c>
      <c r="K14" s="12" t="str">
        <f>"R-"&amp;D14&amp;"-"&amp;E14&amp;" "&amp;IF(F14="±0,03","A",IF(F14="±0,1","B",IF(F14="±0,25","C",IF(F14="±0,5","D",IF(F14="±1%","F",IF(F14="±2%","G",IF(F14="±5%","J",IF(F14="±10%","K",IF(F14="±20%","M","")))))))))</f>
        <v>R-0402-11K F</v>
      </c>
      <c r="L14" s="11" t="str">
        <f>K14</f>
        <v>R-0402-11K F</v>
      </c>
    </row>
    <row r="15" spans="1:12" x14ac:dyDescent="0.25">
      <c r="A15" s="11" t="s">
        <v>511</v>
      </c>
      <c r="B15" s="3" t="s">
        <v>512</v>
      </c>
      <c r="C15" s="11" t="s">
        <v>318</v>
      </c>
      <c r="D15" s="5" t="s">
        <v>19</v>
      </c>
      <c r="E15" s="11" t="s">
        <v>513</v>
      </c>
      <c r="F15" s="21" t="s">
        <v>320</v>
      </c>
      <c r="G15" s="11" t="s">
        <v>321</v>
      </c>
      <c r="H15" s="11" t="s">
        <v>322</v>
      </c>
      <c r="I15" s="11" t="s">
        <v>323</v>
      </c>
      <c r="J15" s="12" t="str">
        <f>"R"&amp;D15</f>
        <v>R0402</v>
      </c>
      <c r="K15" s="12" t="str">
        <f>"R-"&amp;D15&amp;"-"&amp;E15&amp;" "&amp;IF(F15="±0,03","A",IF(F15="±0,1","B",IF(F15="±0,25","C",IF(F15="±0,5","D",IF(F15="±1%","F",IF(F15="±2%","G",IF(F15="±5%","J",IF(F15="±10%","K",IF(F15="±20%","M","")))))))))</f>
        <v>R-0402-11K8 F</v>
      </c>
      <c r="L15" s="11" t="str">
        <f>K15</f>
        <v>R-0402-11K8 F</v>
      </c>
    </row>
    <row r="16" spans="1:12" x14ac:dyDescent="0.25">
      <c r="A16" s="11" t="s">
        <v>450</v>
      </c>
      <c r="B16" s="3" t="s">
        <v>451</v>
      </c>
      <c r="C16" s="11" t="s">
        <v>318</v>
      </c>
      <c r="D16" s="5" t="s">
        <v>19</v>
      </c>
      <c r="E16" s="11" t="s">
        <v>452</v>
      </c>
      <c r="F16" s="21" t="s">
        <v>320</v>
      </c>
      <c r="G16" s="11" t="s">
        <v>321</v>
      </c>
      <c r="H16" s="11" t="s">
        <v>322</v>
      </c>
      <c r="I16" s="11" t="s">
        <v>323</v>
      </c>
      <c r="J16" s="12" t="str">
        <f>"R"&amp;D16</f>
        <v>R0402</v>
      </c>
      <c r="K16" s="12" t="str">
        <f>"R-"&amp;D16&amp;"-"&amp;E16&amp;" "&amp;IF(F16="±0,03","A",IF(F16="±0,1","B",IF(F16="±0,25","C",IF(F16="±0,5","D",IF(F16="±1%","F",IF(F16="±2%","G",IF(F16="±5%","J",IF(F16="±10%","K",IF(F16="±20%","M","")))))))))</f>
        <v>R-0402-120R F</v>
      </c>
      <c r="L16" s="11" t="str">
        <f>K16</f>
        <v>R-0402-120R F</v>
      </c>
    </row>
    <row r="17" spans="1:12" x14ac:dyDescent="0.25">
      <c r="A17" s="11" t="s">
        <v>432</v>
      </c>
      <c r="B17" s="11" t="s">
        <v>433</v>
      </c>
      <c r="C17" s="11" t="s">
        <v>318</v>
      </c>
      <c r="D17" s="11" t="s">
        <v>19</v>
      </c>
      <c r="E17" s="11" t="s">
        <v>434</v>
      </c>
      <c r="F17" s="21" t="s">
        <v>320</v>
      </c>
      <c r="G17" s="11" t="s">
        <v>321</v>
      </c>
      <c r="H17" s="11" t="s">
        <v>322</v>
      </c>
      <c r="I17" s="11" t="s">
        <v>323</v>
      </c>
      <c r="J17" s="12" t="str">
        <f>"R"&amp;D17</f>
        <v>R0402</v>
      </c>
      <c r="K17" s="12" t="str">
        <f>"R-"&amp;D17&amp;"-"&amp;E17&amp;" "&amp;IF(F17="±0,03","A",IF(F17="±0,1","B",IF(F17="±0,25","C",IF(F17="±0,5","D",IF(F17="±1%","F",IF(F17="±2%","G",IF(F17="±5%","J",IF(F17="±10%","K",IF(F17="±20%","M","")))))))))</f>
        <v>R-0402-12K F</v>
      </c>
      <c r="L17" s="11" t="str">
        <f>K17</f>
        <v>R-0402-12K F</v>
      </c>
    </row>
    <row r="18" spans="1:12" x14ac:dyDescent="0.25">
      <c r="A18" s="11" t="s">
        <v>479</v>
      </c>
      <c r="B18" s="3" t="s">
        <v>480</v>
      </c>
      <c r="C18" s="11" t="s">
        <v>318</v>
      </c>
      <c r="D18" s="11" t="s">
        <v>19</v>
      </c>
      <c r="E18" s="11" t="s">
        <v>481</v>
      </c>
      <c r="F18" s="21" t="s">
        <v>320</v>
      </c>
      <c r="G18" s="11" t="s">
        <v>321</v>
      </c>
      <c r="H18" s="11" t="s">
        <v>322</v>
      </c>
      <c r="I18" s="11" t="s">
        <v>323</v>
      </c>
      <c r="J18" s="12" t="str">
        <f>"R"&amp;D18</f>
        <v>R0402</v>
      </c>
      <c r="K18" s="12" t="str">
        <f>"R-"&amp;D18&amp;"-"&amp;E18&amp;" "&amp;IF(F18="±0,03","A",IF(F18="±0,1","B",IF(F18="±0,25","C",IF(F18="±0,5","D",IF(F18="±1%","F",IF(F18="±2%","G",IF(F18="±5%","J",IF(F18="±10%","K",IF(F18="±20%","M","")))))))))</f>
        <v>R-0402-12K4 F</v>
      </c>
      <c r="L18" s="11" t="str">
        <f>K18</f>
        <v>R-0402-12K4 F</v>
      </c>
    </row>
    <row r="19" spans="1:12" x14ac:dyDescent="0.25">
      <c r="A19" s="11" t="s">
        <v>341</v>
      </c>
      <c r="B19" s="11" t="s">
        <v>342</v>
      </c>
      <c r="C19" s="11" t="s">
        <v>318</v>
      </c>
      <c r="D19" s="11" t="s">
        <v>19</v>
      </c>
      <c r="E19" s="11" t="s">
        <v>343</v>
      </c>
      <c r="F19" s="21" t="s">
        <v>320</v>
      </c>
      <c r="G19" s="11" t="s">
        <v>321</v>
      </c>
      <c r="H19" s="11" t="s">
        <v>322</v>
      </c>
      <c r="I19" s="11" t="s">
        <v>323</v>
      </c>
      <c r="J19" s="12" t="str">
        <f>"R"&amp;D19</f>
        <v>R0402</v>
      </c>
      <c r="K19" s="12" t="str">
        <f>"R-"&amp;D19&amp;"-"&amp;E19&amp;" "&amp;IF(F19="±0,03","A",IF(F19="±0,1","B",IF(F19="±0,25","C",IF(F19="±0,5","D",IF(F19="±1%","F",IF(F19="±2%","G",IF(F19="±5%","J",IF(F19="±10%","K",IF(F19="±20%","M","")))))))))</f>
        <v>R-0402-15K F</v>
      </c>
      <c r="L19" s="11" t="str">
        <f>K19</f>
        <v>R-0402-15K F</v>
      </c>
    </row>
    <row r="20" spans="1:12" x14ac:dyDescent="0.25">
      <c r="A20" s="11" t="s">
        <v>344</v>
      </c>
      <c r="B20" s="3" t="s">
        <v>345</v>
      </c>
      <c r="C20" s="11" t="s">
        <v>318</v>
      </c>
      <c r="D20" s="5" t="s">
        <v>19</v>
      </c>
      <c r="E20" s="11" t="s">
        <v>346</v>
      </c>
      <c r="F20" s="21" t="s">
        <v>320</v>
      </c>
      <c r="G20" s="11" t="s">
        <v>321</v>
      </c>
      <c r="H20" s="11" t="s">
        <v>322</v>
      </c>
      <c r="I20" s="11" t="s">
        <v>323</v>
      </c>
      <c r="J20" s="12" t="str">
        <f>"R"&amp;D20</f>
        <v>R0402</v>
      </c>
      <c r="K20" s="12" t="str">
        <f>"R-"&amp;D20&amp;"-"&amp;E20&amp;" "&amp;IF(F20="±0,03","A",IF(F20="±0,1","B",IF(F20="±0,25","C",IF(F20="±0,5","D",IF(F20="±1%","F",IF(F20="±2%","G",IF(F20="±5%","J",IF(F20="±10%","K",IF(F20="±20%","M","")))))))))</f>
        <v>R-0402-160K F</v>
      </c>
      <c r="L20" s="11" t="str">
        <f>K20</f>
        <v>R-0402-160K F</v>
      </c>
    </row>
    <row r="21" spans="1:12" x14ac:dyDescent="0.25">
      <c r="A21" s="11" t="s">
        <v>467</v>
      </c>
      <c r="B21" s="3" t="s">
        <v>468</v>
      </c>
      <c r="C21" s="11" t="s">
        <v>318</v>
      </c>
      <c r="D21" s="11" t="s">
        <v>19</v>
      </c>
      <c r="E21" s="11" t="s">
        <v>469</v>
      </c>
      <c r="F21" s="21" t="s">
        <v>320</v>
      </c>
      <c r="G21" s="11" t="s">
        <v>321</v>
      </c>
      <c r="H21" s="11" t="s">
        <v>322</v>
      </c>
      <c r="I21" s="11" t="s">
        <v>323</v>
      </c>
      <c r="J21" s="12" t="str">
        <f>"R"&amp;D21</f>
        <v>R0402</v>
      </c>
      <c r="K21" s="12" t="str">
        <f>"R-"&amp;D21&amp;"-"&amp;E21&amp;" "&amp;IF(F21="±0,03","A",IF(F21="±0,1","B",IF(F21="±0,25","C",IF(F21="±0,5","D",IF(F21="±1%","F",IF(F21="±2%","G",IF(F21="±5%","J",IF(F21="±10%","K",IF(F21="±20%","M","")))))))))</f>
        <v>R-0402-165K F</v>
      </c>
      <c r="L21" s="11" t="str">
        <f>K21</f>
        <v>R-0402-165K F</v>
      </c>
    </row>
    <row r="22" spans="1:12" x14ac:dyDescent="0.25">
      <c r="A22" s="11" t="s">
        <v>347</v>
      </c>
      <c r="B22" s="11" t="s">
        <v>348</v>
      </c>
      <c r="C22" s="11" t="s">
        <v>318</v>
      </c>
      <c r="D22" s="11" t="s">
        <v>19</v>
      </c>
      <c r="E22" s="11" t="s">
        <v>349</v>
      </c>
      <c r="F22" s="21" t="s">
        <v>320</v>
      </c>
      <c r="G22" s="11" t="s">
        <v>321</v>
      </c>
      <c r="H22" s="11" t="s">
        <v>322</v>
      </c>
      <c r="I22" s="11" t="s">
        <v>323</v>
      </c>
      <c r="J22" s="12" t="str">
        <f>"R"&amp;D22</f>
        <v>R0402</v>
      </c>
      <c r="K22" s="12" t="str">
        <f>"R-"&amp;D22&amp;"-"&amp;E22&amp;" "&amp;IF(F22="±0,03","A",IF(F22="±0,1","B",IF(F22="±0,25","C",IF(F22="±0,5","D",IF(F22="±1%","F",IF(F22="±2%","G",IF(F22="±5%","J",IF(F22="±10%","K",IF(F22="±20%","M","")))))))))</f>
        <v>R-0402-17K8 F</v>
      </c>
      <c r="L22" s="11" t="str">
        <f>K22</f>
        <v>R-0402-17K8 F</v>
      </c>
    </row>
    <row r="23" spans="1:12" x14ac:dyDescent="0.25">
      <c r="A23" s="11" t="s">
        <v>417</v>
      </c>
      <c r="B23" s="11" t="s">
        <v>418</v>
      </c>
      <c r="C23" s="11" t="s">
        <v>318</v>
      </c>
      <c r="D23" s="5" t="s">
        <v>19</v>
      </c>
      <c r="E23" s="11" t="s">
        <v>419</v>
      </c>
      <c r="F23" s="21" t="s">
        <v>320</v>
      </c>
      <c r="G23" s="11" t="s">
        <v>321</v>
      </c>
      <c r="H23" s="11" t="s">
        <v>322</v>
      </c>
      <c r="I23" s="11" t="s">
        <v>323</v>
      </c>
      <c r="J23" s="12" t="str">
        <f>"R"&amp;D23</f>
        <v>R0402</v>
      </c>
      <c r="K23" s="12" t="str">
        <f>"R-"&amp;D23&amp;"-"&amp;E23&amp;" "&amp;IF(F23="±0,03","A",IF(F23="±0,1","B",IF(F23="±0,25","C",IF(F23="±0,5","D",IF(F23="±1%","F",IF(F23="±2%","G",IF(F23="±5%","J",IF(F23="±10%","K",IF(F23="±20%","M","")))))))))</f>
        <v>R-0402-18K2 F</v>
      </c>
      <c r="L23" s="11" t="str">
        <f>K23</f>
        <v>R-0402-18K2 F</v>
      </c>
    </row>
    <row r="24" spans="1:12" x14ac:dyDescent="0.25">
      <c r="A24" s="11" t="s">
        <v>544</v>
      </c>
      <c r="B24" s="3" t="s">
        <v>545</v>
      </c>
      <c r="C24" s="11" t="s">
        <v>318</v>
      </c>
      <c r="D24" s="5" t="s">
        <v>129</v>
      </c>
      <c r="E24" s="11" t="s">
        <v>419</v>
      </c>
      <c r="F24" s="21" t="s">
        <v>320</v>
      </c>
      <c r="G24" s="11" t="s">
        <v>321</v>
      </c>
      <c r="H24" s="11" t="s">
        <v>322</v>
      </c>
      <c r="I24" s="11" t="s">
        <v>323</v>
      </c>
      <c r="J24" s="12" t="str">
        <f>"R"&amp;D24</f>
        <v>R0201</v>
      </c>
      <c r="K24" s="12" t="str">
        <f>"R-"&amp;D24&amp;"-"&amp;E24&amp;" "&amp;IF(F24="±0,03","A",IF(F24="±0,1","B",IF(F24="±0,25","C",IF(F24="±0,5","D",IF(F24="±1%","F",IF(F24="±2%","G",IF(F24="±5%","J",IF(F24="±10%","K",IF(F24="±20%","M","")))))))))</f>
        <v>R-0201-18K2 F</v>
      </c>
      <c r="L24" s="11" t="str">
        <f>K24</f>
        <v>R-0201-18K2 F</v>
      </c>
    </row>
    <row r="25" spans="1:12" x14ac:dyDescent="0.25">
      <c r="A25" s="11" t="s">
        <v>350</v>
      </c>
      <c r="B25" s="3" t="s">
        <v>351</v>
      </c>
      <c r="C25" s="11" t="s">
        <v>318</v>
      </c>
      <c r="D25" s="5" t="s">
        <v>19</v>
      </c>
      <c r="E25" s="11" t="s">
        <v>352</v>
      </c>
      <c r="F25" s="21" t="s">
        <v>320</v>
      </c>
      <c r="G25" s="11" t="s">
        <v>321</v>
      </c>
      <c r="H25" s="11" t="s">
        <v>322</v>
      </c>
      <c r="I25" s="11" t="s">
        <v>323</v>
      </c>
      <c r="J25" s="12" t="str">
        <f>"R"&amp;D25</f>
        <v>R0402</v>
      </c>
      <c r="K25" s="12" t="str">
        <f>"R-"&amp;D25&amp;"-"&amp;E25&amp;" "&amp;IF(F25="±0,03","A",IF(F25="±0,1","B",IF(F25="±0,25","C",IF(F25="±0,5","D",IF(F25="±1%","F",IF(F25="±2%","G",IF(F25="±5%","J",IF(F25="±10%","K",IF(F25="±20%","M","")))))))))</f>
        <v>R-0402-18R2 F</v>
      </c>
      <c r="L25" s="11" t="str">
        <f>K25</f>
        <v>R-0402-18R2 F</v>
      </c>
    </row>
    <row r="26" spans="1:12" x14ac:dyDescent="0.25">
      <c r="A26" s="11" t="s">
        <v>497</v>
      </c>
      <c r="B26" s="3" t="s">
        <v>498</v>
      </c>
      <c r="C26" s="11" t="s">
        <v>318</v>
      </c>
      <c r="D26" s="5" t="s">
        <v>19</v>
      </c>
      <c r="E26" s="11" t="s">
        <v>499</v>
      </c>
      <c r="F26" s="21" t="s">
        <v>320</v>
      </c>
      <c r="G26" s="11" t="s">
        <v>321</v>
      </c>
      <c r="H26" s="11" t="s">
        <v>322</v>
      </c>
      <c r="I26" s="11" t="s">
        <v>323</v>
      </c>
      <c r="J26" s="12" t="str">
        <f>"R"&amp;D26</f>
        <v>R0402</v>
      </c>
      <c r="K26" s="12" t="str">
        <f>"R-"&amp;D26&amp;"-"&amp;E26&amp;" "&amp;IF(F26="±0,03","A",IF(F26="±0,1","B",IF(F26="±0,25","C",IF(F26="±0,5","D",IF(F26="±1%","F",IF(F26="±2%","G",IF(F26="±5%","J",IF(F26="±10%","K",IF(F26="±20%","M","")))))))))</f>
        <v>R-0402-196K F</v>
      </c>
      <c r="L26" s="11" t="str">
        <f>K26</f>
        <v>R-0402-196K F</v>
      </c>
    </row>
    <row r="27" spans="1:12" x14ac:dyDescent="0.25">
      <c r="A27" s="11" t="s">
        <v>353</v>
      </c>
      <c r="B27" s="3" t="s">
        <v>354</v>
      </c>
      <c r="C27" s="11" t="s">
        <v>318</v>
      </c>
      <c r="D27" s="5" t="s">
        <v>19</v>
      </c>
      <c r="E27" s="11" t="s">
        <v>355</v>
      </c>
      <c r="F27" s="21" t="s">
        <v>320</v>
      </c>
      <c r="G27" s="11" t="s">
        <v>321</v>
      </c>
      <c r="H27" s="11" t="s">
        <v>322</v>
      </c>
      <c r="I27" s="11" t="s">
        <v>323</v>
      </c>
      <c r="J27" s="12" t="str">
        <f>"R"&amp;D27</f>
        <v>R0402</v>
      </c>
      <c r="K27" s="12" t="str">
        <f>"R-"&amp;D27&amp;"-"&amp;E27&amp;" "&amp;IF(F27="±0,03","A",IF(F27="±0,1","B",IF(F27="±0,25","C",IF(F27="±0,5","D",IF(F27="±1%","F",IF(F27="±2%","G",IF(F27="±5%","J",IF(F27="±10%","K",IF(F27="±20%","M","")))))))))</f>
        <v>R-0402-1K F</v>
      </c>
      <c r="L27" s="11" t="str">
        <f>K27</f>
        <v>R-0402-1K F</v>
      </c>
    </row>
    <row r="28" spans="1:12" x14ac:dyDescent="0.25">
      <c r="A28" s="11" t="s">
        <v>356</v>
      </c>
      <c r="B28" s="11" t="s">
        <v>357</v>
      </c>
      <c r="C28" s="11" t="s">
        <v>318</v>
      </c>
      <c r="D28" s="11" t="s">
        <v>19</v>
      </c>
      <c r="E28" s="11" t="s">
        <v>358</v>
      </c>
      <c r="F28" s="21" t="s">
        <v>320</v>
      </c>
      <c r="G28" s="11" t="s">
        <v>321</v>
      </c>
      <c r="H28" s="11" t="s">
        <v>322</v>
      </c>
      <c r="I28" s="11" t="s">
        <v>323</v>
      </c>
      <c r="J28" s="12" t="str">
        <f>"R"&amp;D28</f>
        <v>R0402</v>
      </c>
      <c r="K28" s="12" t="str">
        <f>"R-"&amp;D28&amp;"-"&amp;E28&amp;" "&amp;IF(F28="±0,03","A",IF(F28="±0,1","B",IF(F28="±0,25","C",IF(F28="±0,5","D",IF(F28="±1%","F",IF(F28="±2%","G",IF(F28="±5%","J",IF(F28="±10%","K",IF(F28="±20%","M","")))))))))</f>
        <v>R-0402-1K05 F</v>
      </c>
      <c r="L28" s="11" t="str">
        <f>K28</f>
        <v>R-0402-1K05 F</v>
      </c>
    </row>
    <row r="29" spans="1:12" x14ac:dyDescent="0.25">
      <c r="A29" s="11" t="s">
        <v>485</v>
      </c>
      <c r="B29" s="3" t="s">
        <v>486</v>
      </c>
      <c r="C29" s="11" t="s">
        <v>318</v>
      </c>
      <c r="D29" s="5" t="s">
        <v>19</v>
      </c>
      <c r="E29" s="11" t="s">
        <v>487</v>
      </c>
      <c r="F29" s="21" t="s">
        <v>320</v>
      </c>
      <c r="G29" s="11" t="s">
        <v>321</v>
      </c>
      <c r="H29" s="11" t="s">
        <v>322</v>
      </c>
      <c r="I29" s="11" t="s">
        <v>323</v>
      </c>
      <c r="J29" s="12" t="str">
        <f>"R"&amp;D29</f>
        <v>R0402</v>
      </c>
      <c r="K29" s="12" t="str">
        <f>"R-"&amp;D29&amp;"-"&amp;E29&amp;" "&amp;IF(F29="±0,03","A",IF(F29="±0,1","B",IF(F29="±0,25","C",IF(F29="±0,5","D",IF(F29="±1%","F",IF(F29="±2%","G",IF(F29="±5%","J",IF(F29="±10%","K",IF(F29="±20%","M","")))))))))</f>
        <v>R-0402-1K1 F</v>
      </c>
      <c r="L29" s="11" t="str">
        <f>K29</f>
        <v>R-0402-1K1 F</v>
      </c>
    </row>
    <row r="30" spans="1:12" x14ac:dyDescent="0.25">
      <c r="A30" s="11" t="s">
        <v>554</v>
      </c>
      <c r="B30" s="3" t="s">
        <v>555</v>
      </c>
      <c r="C30" s="11" t="s">
        <v>318</v>
      </c>
      <c r="D30" s="5" t="s">
        <v>129</v>
      </c>
      <c r="E30" s="11" t="s">
        <v>556</v>
      </c>
      <c r="F30" s="21" t="s">
        <v>320</v>
      </c>
      <c r="G30" s="11" t="s">
        <v>321</v>
      </c>
      <c r="H30" s="11" t="s">
        <v>322</v>
      </c>
      <c r="I30" s="11" t="s">
        <v>323</v>
      </c>
      <c r="J30" s="12" t="str">
        <f>"R"&amp;D30</f>
        <v>R0201</v>
      </c>
      <c r="K30" s="12" t="str">
        <f>"R-"&amp;D30&amp;"-"&amp;E30&amp;" "&amp;IF(F30="±0,03","A",IF(F30="±0,1","B",IF(F30="±0,25","C",IF(F30="±0,5","D",IF(F30="±1%","F",IF(F30="±2%","G",IF(F30="±5%","J",IF(F30="±10%","K",IF(F30="±20%","M","")))))))))</f>
        <v>R-0201-1K15 F</v>
      </c>
      <c r="L30" s="11" t="str">
        <f>K30</f>
        <v>R-0201-1K15 F</v>
      </c>
    </row>
    <row r="31" spans="1:12" x14ac:dyDescent="0.25">
      <c r="A31" s="11" t="s">
        <v>359</v>
      </c>
      <c r="B31" s="11" t="s">
        <v>360</v>
      </c>
      <c r="C31" s="11" t="s">
        <v>318</v>
      </c>
      <c r="D31" s="5" t="s">
        <v>19</v>
      </c>
      <c r="E31" s="11" t="s">
        <v>361</v>
      </c>
      <c r="F31" s="21" t="s">
        <v>320</v>
      </c>
      <c r="G31" s="11" t="s">
        <v>321</v>
      </c>
      <c r="H31" s="11" t="s">
        <v>322</v>
      </c>
      <c r="I31" s="11" t="s">
        <v>323</v>
      </c>
      <c r="J31" s="12" t="str">
        <f>"R"&amp;D31</f>
        <v>R0402</v>
      </c>
      <c r="K31" s="12" t="str">
        <f>"R-"&amp;D31&amp;"-"&amp;E31&amp;" "&amp;IF(F31="±0,03","A",IF(F31="±0,1","B",IF(F31="±0,25","C",IF(F31="±0,5","D",IF(F31="±1%","F",IF(F31="±2%","G",IF(F31="±5%","J",IF(F31="±10%","K",IF(F31="±20%","M","")))))))))</f>
        <v>R-0402-1K5 F</v>
      </c>
      <c r="L31" s="11" t="str">
        <f>K31</f>
        <v>R-0402-1K5 F</v>
      </c>
    </row>
    <row r="32" spans="1:12" x14ac:dyDescent="0.25">
      <c r="A32" s="11" t="s">
        <v>420</v>
      </c>
      <c r="B32" s="11" t="s">
        <v>421</v>
      </c>
      <c r="C32" s="11" t="s">
        <v>318</v>
      </c>
      <c r="D32" s="5" t="s">
        <v>19</v>
      </c>
      <c r="E32" s="11" t="s">
        <v>422</v>
      </c>
      <c r="F32" s="21" t="s">
        <v>320</v>
      </c>
      <c r="G32" s="11" t="s">
        <v>321</v>
      </c>
      <c r="H32" s="11" t="s">
        <v>322</v>
      </c>
      <c r="I32" s="11" t="s">
        <v>323</v>
      </c>
      <c r="J32" s="12" t="str">
        <f>"R"&amp;D32</f>
        <v>R0402</v>
      </c>
      <c r="K32" s="12" t="str">
        <f>"R-"&amp;D32&amp;"-"&amp;E32&amp;" "&amp;IF(F32="±0,03","A",IF(F32="±0,1","B",IF(F32="±0,25","C",IF(F32="±0,5","D",IF(F32="±1%","F",IF(F32="±2%","G",IF(F32="±5%","J",IF(F32="±10%","K",IF(F32="±20%","M","")))))))))</f>
        <v>R-0402-1M F</v>
      </c>
      <c r="L32" s="11" t="str">
        <f>K32</f>
        <v>R-0402-1M F</v>
      </c>
    </row>
    <row r="33" spans="1:12" x14ac:dyDescent="0.25">
      <c r="A33" s="11" t="s">
        <v>362</v>
      </c>
      <c r="B33" s="11" t="s">
        <v>363</v>
      </c>
      <c r="C33" s="11" t="s">
        <v>318</v>
      </c>
      <c r="D33" s="5" t="s">
        <v>19</v>
      </c>
      <c r="E33" s="11" t="s">
        <v>364</v>
      </c>
      <c r="F33" s="21" t="s">
        <v>320</v>
      </c>
      <c r="G33" s="11" t="s">
        <v>321</v>
      </c>
      <c r="H33" s="11" t="s">
        <v>322</v>
      </c>
      <c r="I33" s="11" t="s">
        <v>323</v>
      </c>
      <c r="J33" s="12" t="str">
        <f>"R"&amp;D33</f>
        <v>R0402</v>
      </c>
      <c r="K33" s="12" t="str">
        <f>"R-"&amp;D33&amp;"-"&amp;E33&amp;" "&amp;IF(F33="±0,03","A",IF(F33="±0,1","B",IF(F33="±0,25","C",IF(F33="±0,5","D",IF(F33="±1%","F",IF(F33="±2%","G",IF(F33="±5%","J",IF(F33="±10%","K",IF(F33="±20%","M","")))))))))</f>
        <v>R-0402-200K F</v>
      </c>
      <c r="L33" s="11" t="str">
        <f>K33</f>
        <v>R-0402-200K F</v>
      </c>
    </row>
    <row r="34" spans="1:12" x14ac:dyDescent="0.25">
      <c r="A34" s="11" t="s">
        <v>435</v>
      </c>
      <c r="B34" s="3" t="s">
        <v>436</v>
      </c>
      <c r="C34" s="11" t="s">
        <v>318</v>
      </c>
      <c r="D34" s="5" t="s">
        <v>19</v>
      </c>
      <c r="E34" s="11" t="s">
        <v>437</v>
      </c>
      <c r="F34" s="21" t="s">
        <v>320</v>
      </c>
      <c r="G34" s="11" t="s">
        <v>321</v>
      </c>
      <c r="H34" s="11" t="s">
        <v>322</v>
      </c>
      <c r="I34" s="11" t="s">
        <v>323</v>
      </c>
      <c r="J34" s="12" t="str">
        <f>"R"&amp;D34</f>
        <v>R0402</v>
      </c>
      <c r="K34" s="12" t="str">
        <f>"R-"&amp;D34&amp;"-"&amp;E34&amp;" "&amp;IF(F34="±0,03","A",IF(F34="±0,1","B",IF(F34="±0,25","C",IF(F34="±0,5","D",IF(F34="±1%","F",IF(F34="±2%","G",IF(F34="±5%","J",IF(F34="±10%","K",IF(F34="±20%","M","")))))))))</f>
        <v>R-0402-200R F</v>
      </c>
      <c r="L34" s="11" t="str">
        <f>K34</f>
        <v>R-0402-200R F</v>
      </c>
    </row>
    <row r="35" spans="1:12" x14ac:dyDescent="0.25">
      <c r="A35" s="11" t="s">
        <v>365</v>
      </c>
      <c r="B35" s="11" t="s">
        <v>363</v>
      </c>
      <c r="C35" s="11" t="s">
        <v>318</v>
      </c>
      <c r="D35" s="5" t="s">
        <v>19</v>
      </c>
      <c r="E35" s="11" t="s">
        <v>366</v>
      </c>
      <c r="F35" s="21" t="s">
        <v>320</v>
      </c>
      <c r="G35" s="11" t="s">
        <v>321</v>
      </c>
      <c r="H35" s="11" t="s">
        <v>322</v>
      </c>
      <c r="I35" s="11" t="s">
        <v>323</v>
      </c>
      <c r="J35" s="12" t="str">
        <f>"R"&amp;D35</f>
        <v>R0402</v>
      </c>
      <c r="K35" s="12" t="str">
        <f>"R-"&amp;D35&amp;"-"&amp;E35&amp;" "&amp;IF(F35="±0,03","A",IF(F35="±0,1","B",IF(F35="±0,25","C",IF(F35="±0,5","D",IF(F35="±1%","F",IF(F35="±2%","G",IF(F35="±5%","J",IF(F35="±10%","K",IF(F35="±20%","M","")))))))))</f>
        <v>R-0402-220K F</v>
      </c>
      <c r="L35" s="11" t="str">
        <f>K35</f>
        <v>R-0402-220K F</v>
      </c>
    </row>
    <row r="36" spans="1:12" x14ac:dyDescent="0.25">
      <c r="A36" s="11" t="s">
        <v>491</v>
      </c>
      <c r="B36" s="3" t="s">
        <v>492</v>
      </c>
      <c r="C36" s="11" t="s">
        <v>318</v>
      </c>
      <c r="D36" s="5" t="s">
        <v>19</v>
      </c>
      <c r="E36" s="11" t="s">
        <v>493</v>
      </c>
      <c r="F36" s="21" t="s">
        <v>320</v>
      </c>
      <c r="G36" s="11" t="s">
        <v>321</v>
      </c>
      <c r="H36" s="11" t="s">
        <v>322</v>
      </c>
      <c r="I36" s="11" t="s">
        <v>323</v>
      </c>
      <c r="J36" s="12" t="str">
        <f>"R"&amp;D36</f>
        <v>R0402</v>
      </c>
      <c r="K36" s="12" t="str">
        <f>"R-"&amp;D36&amp;"-"&amp;E36&amp;" "&amp;IF(F36="±0,03","A",IF(F36="±0,1","B",IF(F36="±0,25","C",IF(F36="±0,5","D",IF(F36="±1%","F",IF(F36="±2%","G",IF(F36="±5%","J",IF(F36="±10%","K",IF(F36="±20%","M","")))))))))</f>
        <v>R-0402-221R F</v>
      </c>
      <c r="L36" s="11" t="str">
        <f>K36</f>
        <v>R-0402-221R F</v>
      </c>
    </row>
    <row r="37" spans="1:12" x14ac:dyDescent="0.25">
      <c r="A37" s="11" t="s">
        <v>461</v>
      </c>
      <c r="B37" s="3" t="s">
        <v>462</v>
      </c>
      <c r="C37" s="11" t="s">
        <v>318</v>
      </c>
      <c r="D37" s="11" t="s">
        <v>19</v>
      </c>
      <c r="E37" s="11" t="s">
        <v>463</v>
      </c>
      <c r="F37" s="21" t="s">
        <v>320</v>
      </c>
      <c r="G37" s="11" t="s">
        <v>321</v>
      </c>
      <c r="H37" s="11" t="s">
        <v>322</v>
      </c>
      <c r="I37" s="11" t="s">
        <v>323</v>
      </c>
      <c r="J37" s="12" t="str">
        <f>"R"&amp;D37</f>
        <v>R0402</v>
      </c>
      <c r="K37" s="12" t="str">
        <f>"R-"&amp;D37&amp;"-"&amp;E37&amp;" "&amp;IF(F37="±0,03","A",IF(F37="±0,1","B",IF(F37="±0,25","C",IF(F37="±0,5","D",IF(F37="±1%","F",IF(F37="±2%","G",IF(F37="±5%","J",IF(F37="±10%","K",IF(F37="±20%","M","")))))))))</f>
        <v>R-0402-22K1 F</v>
      </c>
      <c r="L37" s="11" t="str">
        <f>K37</f>
        <v>R-0402-22K1 F</v>
      </c>
    </row>
    <row r="38" spans="1:12" x14ac:dyDescent="0.25">
      <c r="A38" s="11" t="s">
        <v>500</v>
      </c>
      <c r="B38" s="3" t="s">
        <v>501</v>
      </c>
      <c r="C38" s="11" t="s">
        <v>318</v>
      </c>
      <c r="D38" s="11" t="s">
        <v>129</v>
      </c>
      <c r="E38" s="11" t="s">
        <v>502</v>
      </c>
      <c r="F38" s="21" t="s">
        <v>320</v>
      </c>
      <c r="G38" s="11" t="s">
        <v>321</v>
      </c>
      <c r="H38" s="11" t="s">
        <v>322</v>
      </c>
      <c r="I38" s="11" t="s">
        <v>323</v>
      </c>
      <c r="J38" s="12" t="str">
        <f>"R"&amp;D38</f>
        <v>R0201</v>
      </c>
      <c r="K38" s="12" t="str">
        <f>"R-"&amp;D38&amp;"-"&amp;E38&amp;" "&amp;IF(F38="±0,03","A",IF(F38="±0,1","B",IF(F38="±0,25","C",IF(F38="±0,5","D",IF(F38="±1%","F",IF(F38="±2%","G",IF(F38="±5%","J",IF(F38="±10%","K",IF(F38="±20%","M","")))))))))</f>
        <v>R-0201-22R F</v>
      </c>
      <c r="L38" s="11" t="str">
        <f>K38</f>
        <v>R-0201-22R F</v>
      </c>
    </row>
    <row r="39" spans="1:12" x14ac:dyDescent="0.25">
      <c r="A39" s="11" t="s">
        <v>423</v>
      </c>
      <c r="B39" s="11" t="s">
        <v>424</v>
      </c>
      <c r="C39" s="11" t="s">
        <v>318</v>
      </c>
      <c r="D39" s="5" t="s">
        <v>19</v>
      </c>
      <c r="E39" s="11" t="s">
        <v>425</v>
      </c>
      <c r="F39" s="21" t="s">
        <v>320</v>
      </c>
      <c r="G39" s="11" t="s">
        <v>321</v>
      </c>
      <c r="H39" s="11" t="s">
        <v>322</v>
      </c>
      <c r="I39" s="11" t="s">
        <v>323</v>
      </c>
      <c r="J39" s="12" t="str">
        <f>"R"&amp;D39</f>
        <v>R0402</v>
      </c>
      <c r="K39" s="12" t="str">
        <f>"R-"&amp;D39&amp;"-"&amp;E39&amp;" "&amp;IF(F39="±0,03","A",IF(F39="±0,1","B",IF(F39="±0,25","C",IF(F39="±0,5","D",IF(F39="±1%","F",IF(F39="±2%","G",IF(F39="±5%","J",IF(F39="±10%","K",IF(F39="±20%","M","")))))))))</f>
        <v>R-0402-243K F</v>
      </c>
      <c r="L39" s="11" t="str">
        <f>K39</f>
        <v>R-0402-243K F</v>
      </c>
    </row>
    <row r="40" spans="1:12" x14ac:dyDescent="0.25">
      <c r="A40" s="11" t="s">
        <v>563</v>
      </c>
      <c r="B40" s="3" t="s">
        <v>564</v>
      </c>
      <c r="C40" s="11" t="s">
        <v>318</v>
      </c>
      <c r="D40" s="11" t="s">
        <v>19</v>
      </c>
      <c r="E40" s="11" t="s">
        <v>565</v>
      </c>
      <c r="F40" s="21" t="s">
        <v>562</v>
      </c>
      <c r="G40" s="11" t="s">
        <v>321</v>
      </c>
      <c r="H40" s="11" t="s">
        <v>322</v>
      </c>
      <c r="I40" s="11" t="s">
        <v>323</v>
      </c>
      <c r="J40" s="12" t="str">
        <f>"R"&amp;D40</f>
        <v>R0402</v>
      </c>
      <c r="K40" s="12" t="str">
        <f>"R-"&amp;D40&amp;"-"&amp;E40&amp;" "&amp;IF(F40="±0,03","A",IF(F40="±0,1","B",IF(F40="±0,25","C",IF(F40="±0,5","D",IF(F40="±1%","F",IF(F40="±2%","G",IF(F40="±5%","J",IF(F40="±10%","K",IF(F40="±20%","M","")))))))))</f>
        <v xml:space="preserve">R-0402-249R </v>
      </c>
      <c r="L40" s="11" t="str">
        <f>K40</f>
        <v xml:space="preserve">R-0402-249R </v>
      </c>
    </row>
    <row r="41" spans="1:12" x14ac:dyDescent="0.25">
      <c r="A41" s="11" t="s">
        <v>528</v>
      </c>
      <c r="B41" s="11" t="s">
        <v>529</v>
      </c>
      <c r="C41" s="11" t="s">
        <v>318</v>
      </c>
      <c r="D41" s="5" t="s">
        <v>19</v>
      </c>
      <c r="E41" s="11" t="s">
        <v>530</v>
      </c>
      <c r="F41" s="21" t="s">
        <v>320</v>
      </c>
      <c r="G41" s="11" t="s">
        <v>321</v>
      </c>
      <c r="H41" s="11" t="s">
        <v>322</v>
      </c>
      <c r="I41" s="11" t="s">
        <v>323</v>
      </c>
      <c r="J41" s="12" t="str">
        <f>"R"&amp;D41</f>
        <v>R0402</v>
      </c>
      <c r="K41" s="12" t="str">
        <f>"R-"&amp;D41&amp;"-"&amp;E41&amp;" "&amp;IF(F41="±0,03","A",IF(F41="±0,1","B",IF(F41="±0,25","C",IF(F41="±0,5","D",IF(F41="±1%","F",IF(F41="±2%","G",IF(F41="±5%","J",IF(F41="±10%","K",IF(F41="±20%","M","")))))))))</f>
        <v>R-0402-24K3 F</v>
      </c>
      <c r="L41" s="11" t="str">
        <f>K41</f>
        <v>R-0402-24K3 F</v>
      </c>
    </row>
    <row r="42" spans="1:12" x14ac:dyDescent="0.25">
      <c r="A42" s="11" t="s">
        <v>367</v>
      </c>
      <c r="B42" s="11" t="s">
        <v>368</v>
      </c>
      <c r="C42" s="11" t="s">
        <v>318</v>
      </c>
      <c r="D42" s="11" t="s">
        <v>19</v>
      </c>
      <c r="E42" s="11" t="s">
        <v>369</v>
      </c>
      <c r="F42" s="21" t="s">
        <v>320</v>
      </c>
      <c r="G42" s="11" t="s">
        <v>321</v>
      </c>
      <c r="H42" s="11" t="s">
        <v>322</v>
      </c>
      <c r="I42" s="11" t="s">
        <v>323</v>
      </c>
      <c r="J42" s="12" t="str">
        <f>"R"&amp;D42</f>
        <v>R0402</v>
      </c>
      <c r="K42" s="12" t="str">
        <f>"R-"&amp;D42&amp;"-"&amp;E42&amp;" "&amp;IF(F42="±0,03","A",IF(F42="±0,1","B",IF(F42="±0,25","C",IF(F42="±0,5","D",IF(F42="±1%","F",IF(F42="±2%","G",IF(F42="±5%","J",IF(F42="±10%","K",IF(F42="±20%","M","")))))))))</f>
        <v>R-0402-24R9 F</v>
      </c>
      <c r="L42" s="11" t="str">
        <f>K42</f>
        <v>R-0402-24R9 F</v>
      </c>
    </row>
    <row r="43" spans="1:12" x14ac:dyDescent="0.25">
      <c r="A43" s="11" t="s">
        <v>473</v>
      </c>
      <c r="B43" s="3" t="s">
        <v>474</v>
      </c>
      <c r="C43" s="11" t="s">
        <v>318</v>
      </c>
      <c r="D43" s="11" t="s">
        <v>19</v>
      </c>
      <c r="E43" s="11" t="s">
        <v>475</v>
      </c>
      <c r="F43" s="21" t="s">
        <v>320</v>
      </c>
      <c r="G43" s="11" t="s">
        <v>321</v>
      </c>
      <c r="H43" s="11" t="s">
        <v>322</v>
      </c>
      <c r="I43" s="11" t="s">
        <v>323</v>
      </c>
      <c r="J43" s="12" t="str">
        <f>"R"&amp;D43</f>
        <v>R0402</v>
      </c>
      <c r="K43" s="12" t="str">
        <f>"R-"&amp;D43&amp;"-"&amp;E43&amp;" "&amp;IF(F43="±0,03","A",IF(F43="±0,1","B",IF(F43="±0,25","C",IF(F43="±0,5","D",IF(F43="±1%","F",IF(F43="±2%","G",IF(F43="±5%","J",IF(F43="±10%","K",IF(F43="±20%","M","")))))))))</f>
        <v>R-0402-25K5 F</v>
      </c>
      <c r="L43" s="11" t="str">
        <f>K43</f>
        <v>R-0402-25K5 F</v>
      </c>
    </row>
    <row r="44" spans="1:12" x14ac:dyDescent="0.25">
      <c r="A44" s="11" t="s">
        <v>568</v>
      </c>
      <c r="B44" s="3" t="s">
        <v>569</v>
      </c>
      <c r="C44" s="11" t="s">
        <v>318</v>
      </c>
      <c r="D44" s="11" t="s">
        <v>19</v>
      </c>
      <c r="E44" s="11" t="s">
        <v>570</v>
      </c>
      <c r="F44" s="21" t="s">
        <v>562</v>
      </c>
      <c r="G44" s="11" t="s">
        <v>321</v>
      </c>
      <c r="H44" s="11" t="s">
        <v>322</v>
      </c>
      <c r="I44" s="11" t="s">
        <v>323</v>
      </c>
      <c r="J44" s="12" t="str">
        <f>"R"&amp;D44</f>
        <v>R0402</v>
      </c>
      <c r="K44" s="12" t="str">
        <f>"R-"&amp;D44&amp;"-"&amp;E44&amp;" "&amp;IF(F44="±0,03","A",IF(F44="±0,1","B",IF(F44="±0,25","C",IF(F44="±0,5","D",IF(F44="±1%","F",IF(F44="±2%","G",IF(F44="±5%","J",IF(F44="±10%","K",IF(F44="±20%","M","")))))))))</f>
        <v xml:space="preserve">R-0402-25R </v>
      </c>
      <c r="L44" s="11" t="str">
        <f>K44</f>
        <v xml:space="preserve">R-0402-25R </v>
      </c>
    </row>
    <row r="45" spans="1:12" x14ac:dyDescent="0.25">
      <c r="A45" s="11" t="s">
        <v>520</v>
      </c>
      <c r="B45" s="3" t="s">
        <v>521</v>
      </c>
      <c r="C45" s="11" t="s">
        <v>318</v>
      </c>
      <c r="D45" s="5" t="s">
        <v>19</v>
      </c>
      <c r="E45" s="11" t="s">
        <v>522</v>
      </c>
      <c r="F45" s="21" t="s">
        <v>320</v>
      </c>
      <c r="G45" s="11" t="s">
        <v>321</v>
      </c>
      <c r="H45" s="11" t="s">
        <v>322</v>
      </c>
      <c r="I45" s="11" t="s">
        <v>323</v>
      </c>
      <c r="J45" s="12" t="str">
        <f>"R"&amp;D45</f>
        <v>R0402</v>
      </c>
      <c r="K45" s="12" t="str">
        <f>"R-"&amp;D45&amp;"-"&amp;E45&amp;" "&amp;IF(F45="±0,03","A",IF(F45="±0,1","B",IF(F45="±0,25","C",IF(F45="±0,5","D",IF(F45="±1%","F",IF(F45="±2%","G",IF(F45="±5%","J",IF(F45="±10%","K",IF(F45="±20%","M","")))))))))</f>
        <v>R-0402-270K F</v>
      </c>
      <c r="L45" s="11" t="str">
        <f>K45</f>
        <v>R-0402-270K F</v>
      </c>
    </row>
    <row r="46" spans="1:12" x14ac:dyDescent="0.25">
      <c r="A46" s="11" t="s">
        <v>571</v>
      </c>
      <c r="B46" s="3" t="s">
        <v>572</v>
      </c>
      <c r="C46" s="11" t="s">
        <v>318</v>
      </c>
      <c r="D46" s="5" t="s">
        <v>19</v>
      </c>
      <c r="E46" s="11" t="s">
        <v>573</v>
      </c>
      <c r="F46" s="21" t="s">
        <v>320</v>
      </c>
      <c r="G46" s="11" t="s">
        <v>321</v>
      </c>
      <c r="H46" s="11" t="s">
        <v>322</v>
      </c>
      <c r="I46" s="11" t="s">
        <v>323</v>
      </c>
      <c r="J46" s="12" t="str">
        <f>"R"&amp;D46</f>
        <v>R0402</v>
      </c>
      <c r="K46" s="12" t="str">
        <f>"R-"&amp;D46&amp;"-"&amp;E46&amp;" "&amp;IF(F46="±0,03","A",IF(F46="±0,1","B",IF(F46="±0,25","C",IF(F46="±0,5","D",IF(F46="±1%","F",IF(F46="±2%","G",IF(F46="±5%","J",IF(F46="±10%","K",IF(F46="±20%","M","")))))))))</f>
        <v>R-0402-270R F</v>
      </c>
      <c r="L46" s="11" t="str">
        <f>K46</f>
        <v>R-0402-270R F</v>
      </c>
    </row>
    <row r="47" spans="1:12" x14ac:dyDescent="0.25">
      <c r="A47" s="11" t="s">
        <v>370</v>
      </c>
      <c r="B47" s="11" t="s">
        <v>371</v>
      </c>
      <c r="C47" s="11" t="s">
        <v>318</v>
      </c>
      <c r="D47" s="5" t="s">
        <v>19</v>
      </c>
      <c r="E47" s="11" t="s">
        <v>372</v>
      </c>
      <c r="F47" s="21" t="s">
        <v>320</v>
      </c>
      <c r="G47" s="11" t="s">
        <v>321</v>
      </c>
      <c r="H47" s="11" t="s">
        <v>322</v>
      </c>
      <c r="I47" s="11" t="s">
        <v>323</v>
      </c>
      <c r="J47" s="12" t="str">
        <f>"R"&amp;D47</f>
        <v>R0402</v>
      </c>
      <c r="K47" s="12" t="str">
        <f>"R-"&amp;D47&amp;"-"&amp;E47&amp;" "&amp;IF(F47="±0,03","A",IF(F47="±0,1","B",IF(F47="±0,25","C",IF(F47="±0,5","D",IF(F47="±1%","F",IF(F47="±2%","G",IF(F47="±5%","J",IF(F47="±10%","K",IF(F47="±20%","M","")))))))))</f>
        <v>R-0402-2K F</v>
      </c>
      <c r="L47" s="11" t="str">
        <f>K47</f>
        <v>R-0402-2K F</v>
      </c>
    </row>
    <row r="48" spans="1:12" x14ac:dyDescent="0.25">
      <c r="A48" s="11" t="s">
        <v>546</v>
      </c>
      <c r="B48" s="3" t="s">
        <v>547</v>
      </c>
      <c r="C48" s="11" t="s">
        <v>318</v>
      </c>
      <c r="D48" s="5" t="s">
        <v>129</v>
      </c>
      <c r="E48" s="11" t="s">
        <v>372</v>
      </c>
      <c r="F48" s="21" t="s">
        <v>320</v>
      </c>
      <c r="G48" s="11" t="s">
        <v>321</v>
      </c>
      <c r="H48" s="11" t="s">
        <v>322</v>
      </c>
      <c r="I48" s="11" t="s">
        <v>323</v>
      </c>
      <c r="J48" s="12" t="str">
        <f>"R"&amp;D48</f>
        <v>R0201</v>
      </c>
      <c r="K48" s="12" t="str">
        <f>"R-"&amp;D48&amp;"-"&amp;E48&amp;" "&amp;IF(F48="±0,03","A",IF(F48="±0,1","B",IF(F48="±0,25","C",IF(F48="±0,5","D",IF(F48="±1%","F",IF(F48="±2%","G",IF(F48="±5%","J",IF(F48="±10%","K",IF(F48="±20%","M","")))))))))</f>
        <v>R-0201-2K F</v>
      </c>
      <c r="L48" s="11" t="str">
        <f>K48</f>
        <v>R-0201-2K F</v>
      </c>
    </row>
    <row r="49" spans="1:12" x14ac:dyDescent="0.25">
      <c r="A49" s="11" t="s">
        <v>523</v>
      </c>
      <c r="B49" s="11" t="s">
        <v>524</v>
      </c>
      <c r="C49" s="11" t="s">
        <v>318</v>
      </c>
      <c r="D49" s="5" t="s">
        <v>19</v>
      </c>
      <c r="E49" s="11" t="s">
        <v>525</v>
      </c>
      <c r="F49" s="21" t="s">
        <v>320</v>
      </c>
      <c r="G49" s="11" t="s">
        <v>321</v>
      </c>
      <c r="H49" s="11" t="s">
        <v>322</v>
      </c>
      <c r="I49" s="11" t="s">
        <v>323</v>
      </c>
      <c r="J49" s="12" t="str">
        <f>"R"&amp;D49</f>
        <v>R0402</v>
      </c>
      <c r="K49" s="12" t="str">
        <f>"R-"&amp;D49&amp;"-"&amp;E49&amp;" "&amp;IF(F49="±0,03","A",IF(F49="±0,1","B",IF(F49="±0,25","C",IF(F49="±0,5","D",IF(F49="±1%","F",IF(F49="±2%","G",IF(F49="±5%","J",IF(F49="±10%","K",IF(F49="±20%","M","")))))))))</f>
        <v>R-0402-2K2 F</v>
      </c>
      <c r="L49" s="11" t="str">
        <f>K49</f>
        <v>R-0402-2K2 F</v>
      </c>
    </row>
    <row r="50" spans="1:12" x14ac:dyDescent="0.25">
      <c r="A50" s="11" t="s">
        <v>508</v>
      </c>
      <c r="B50" s="3" t="s">
        <v>509</v>
      </c>
      <c r="C50" s="11" t="s">
        <v>318</v>
      </c>
      <c r="D50" s="5" t="s">
        <v>19</v>
      </c>
      <c r="E50" s="11" t="s">
        <v>510</v>
      </c>
      <c r="F50" s="21" t="s">
        <v>320</v>
      </c>
      <c r="G50" s="11" t="s">
        <v>321</v>
      </c>
      <c r="H50" s="11" t="s">
        <v>322</v>
      </c>
      <c r="I50" s="11" t="s">
        <v>323</v>
      </c>
      <c r="J50" s="12" t="str">
        <f>"R"&amp;D50</f>
        <v>R0402</v>
      </c>
      <c r="K50" s="12" t="str">
        <f>"R-"&amp;D50&amp;"-"&amp;E50&amp;" "&amp;IF(F50="±0,03","A",IF(F50="±0,1","B",IF(F50="±0,25","C",IF(F50="±0,5","D",IF(F50="±1%","F",IF(F50="±2%","G",IF(F50="±5%","J",IF(F50="±10%","K",IF(F50="±20%","M","")))))))))</f>
        <v>R-0402-2K37 F</v>
      </c>
      <c r="L50" s="11" t="str">
        <f>K50</f>
        <v>R-0402-2K37 F</v>
      </c>
    </row>
    <row r="51" spans="1:12" x14ac:dyDescent="0.25">
      <c r="A51" s="11" t="s">
        <v>441</v>
      </c>
      <c r="B51" s="11" t="s">
        <v>442</v>
      </c>
      <c r="C51" s="11" t="s">
        <v>318</v>
      </c>
      <c r="D51" s="11" t="s">
        <v>19</v>
      </c>
      <c r="E51" s="11" t="s">
        <v>443</v>
      </c>
      <c r="F51" s="21" t="s">
        <v>320</v>
      </c>
      <c r="G51" s="11" t="s">
        <v>321</v>
      </c>
      <c r="H51" s="11" t="s">
        <v>322</v>
      </c>
      <c r="I51" s="11" t="s">
        <v>323</v>
      </c>
      <c r="J51" s="12" t="str">
        <f>"R"&amp;D51</f>
        <v>R0402</v>
      </c>
      <c r="K51" s="12" t="str">
        <f>"R-"&amp;D51&amp;"-"&amp;E51&amp;" "&amp;IF(F51="±0,03","A",IF(F51="±0,1","B",IF(F51="±0,25","C",IF(F51="±0,5","D",IF(F51="±1%","F",IF(F51="±2%","G",IF(F51="±5%","J",IF(F51="±10%","K",IF(F51="±20%","M","")))))))))</f>
        <v>R-0402-2K49 F</v>
      </c>
      <c r="L51" s="11" t="str">
        <f>K51</f>
        <v>R-0402-2K49 F</v>
      </c>
    </row>
    <row r="52" spans="1:12" x14ac:dyDescent="0.25">
      <c r="A52" s="11" t="s">
        <v>559</v>
      </c>
      <c r="B52" s="3" t="s">
        <v>560</v>
      </c>
      <c r="C52" s="11" t="s">
        <v>318</v>
      </c>
      <c r="D52" s="11" t="s">
        <v>19</v>
      </c>
      <c r="E52" s="11" t="s">
        <v>561</v>
      </c>
      <c r="F52" s="21" t="s">
        <v>562</v>
      </c>
      <c r="G52" s="11" t="s">
        <v>321</v>
      </c>
      <c r="H52" s="11" t="s">
        <v>322</v>
      </c>
      <c r="I52" s="11" t="s">
        <v>323</v>
      </c>
      <c r="J52" s="12" t="str">
        <f>"R"&amp;D52</f>
        <v>R0402</v>
      </c>
      <c r="K52" s="12" t="str">
        <f>"R-"&amp;D52&amp;"-"&amp;E52&amp;" "&amp;IF(F52="±0,03","A",IF(F52="±0,1","B",IF(F52="±0,25","C",IF(F52="±0,5","D",IF(F52="±1%","F",IF(F52="±2%","G",IF(F52="±5%","J",IF(F52="±10%","K",IF(F52="±20%","M","")))))))))</f>
        <v xml:space="preserve">R-0402-301R </v>
      </c>
      <c r="L52" s="11" t="str">
        <f>K52</f>
        <v xml:space="preserve">R-0402-301R </v>
      </c>
    </row>
    <row r="53" spans="1:12" x14ac:dyDescent="0.25">
      <c r="A53" s="11" t="s">
        <v>470</v>
      </c>
      <c r="B53" s="3" t="s">
        <v>471</v>
      </c>
      <c r="C53" s="11" t="s">
        <v>318</v>
      </c>
      <c r="D53" s="11" t="s">
        <v>19</v>
      </c>
      <c r="E53" s="11" t="s">
        <v>472</v>
      </c>
      <c r="F53" s="21" t="s">
        <v>320</v>
      </c>
      <c r="G53" s="11" t="s">
        <v>321</v>
      </c>
      <c r="H53" s="11" t="s">
        <v>322</v>
      </c>
      <c r="I53" s="11" t="s">
        <v>323</v>
      </c>
      <c r="J53" s="12" t="str">
        <f>"R"&amp;D53</f>
        <v>R0402</v>
      </c>
      <c r="K53" s="12" t="str">
        <f>"R-"&amp;D53&amp;"-"&amp;E53&amp;" "&amp;IF(F53="±0,03","A",IF(F53="±0,1","B",IF(F53="±0,25","C",IF(F53="±0,5","D",IF(F53="±1%","F",IF(F53="±2%","G",IF(F53="±5%","J",IF(F53="±10%","K",IF(F53="±20%","M","")))))))))</f>
        <v>R-0402-30K1 F</v>
      </c>
      <c r="L53" s="11" t="str">
        <f>K53</f>
        <v>R-0402-30K1 F</v>
      </c>
    </row>
    <row r="54" spans="1:12" x14ac:dyDescent="0.25">
      <c r="A54" s="11" t="s">
        <v>373</v>
      </c>
      <c r="B54" s="11" t="s">
        <v>374</v>
      </c>
      <c r="C54" s="11" t="s">
        <v>318</v>
      </c>
      <c r="D54" s="5" t="s">
        <v>19</v>
      </c>
      <c r="E54" s="11" t="s">
        <v>375</v>
      </c>
      <c r="F54" s="21" t="s">
        <v>320</v>
      </c>
      <c r="G54" s="11" t="s">
        <v>321</v>
      </c>
      <c r="H54" s="11" t="s">
        <v>322</v>
      </c>
      <c r="I54" s="11" t="s">
        <v>323</v>
      </c>
      <c r="J54" s="12" t="str">
        <f>"R"&amp;D54</f>
        <v>R0402</v>
      </c>
      <c r="K54" s="12" t="str">
        <f>"R-"&amp;D54&amp;"-"&amp;E54&amp;" "&amp;IF(F54="±0,03","A",IF(F54="±0,1","B",IF(F54="±0,25","C",IF(F54="±0,5","D",IF(F54="±1%","F",IF(F54="±2%","G",IF(F54="±5%","J",IF(F54="±10%","K",IF(F54="±20%","M","")))))))))</f>
        <v>R-0402-31K6 F</v>
      </c>
      <c r="L54" s="11" t="str">
        <f>K54</f>
        <v>R-0402-31K6 F</v>
      </c>
    </row>
    <row r="55" spans="1:12" x14ac:dyDescent="0.25">
      <c r="A55" s="11" t="s">
        <v>447</v>
      </c>
      <c r="B55" s="3" t="s">
        <v>448</v>
      </c>
      <c r="C55" s="11" t="s">
        <v>318</v>
      </c>
      <c r="D55" s="5" t="s">
        <v>19</v>
      </c>
      <c r="E55" s="11" t="s">
        <v>449</v>
      </c>
      <c r="F55" s="21" t="s">
        <v>320</v>
      </c>
      <c r="G55" s="11" t="s">
        <v>321</v>
      </c>
      <c r="H55" s="11" t="s">
        <v>322</v>
      </c>
      <c r="I55" s="11" t="s">
        <v>323</v>
      </c>
      <c r="J55" s="12" t="str">
        <f>"R"&amp;D55</f>
        <v>R0402</v>
      </c>
      <c r="K55" s="12" t="str">
        <f>"R-"&amp;D55&amp;"-"&amp;E55&amp;" "&amp;IF(F55="±0,03","A",IF(F55="±0,1","B",IF(F55="±0,25","C",IF(F55="±0,5","D",IF(F55="±1%","F",IF(F55="±2%","G",IF(F55="±5%","J",IF(F55="±10%","K",IF(F55="±20%","M","")))))))))</f>
        <v>R-0402-330R F</v>
      </c>
      <c r="L55" s="11" t="str">
        <f>K55</f>
        <v>R-0402-330R F</v>
      </c>
    </row>
    <row r="56" spans="1:12" x14ac:dyDescent="0.25">
      <c r="A56" s="11" t="s">
        <v>376</v>
      </c>
      <c r="B56" s="3" t="s">
        <v>377</v>
      </c>
      <c r="C56" s="11" t="s">
        <v>318</v>
      </c>
      <c r="D56" s="5" t="s">
        <v>19</v>
      </c>
      <c r="E56" s="11" t="s">
        <v>378</v>
      </c>
      <c r="F56" s="21" t="s">
        <v>320</v>
      </c>
      <c r="G56" s="11" t="s">
        <v>321</v>
      </c>
      <c r="H56" s="11" t="s">
        <v>322</v>
      </c>
      <c r="I56" s="11" t="s">
        <v>323</v>
      </c>
      <c r="J56" s="12" t="str">
        <f>"R"&amp;D56</f>
        <v>R0402</v>
      </c>
      <c r="K56" s="12" t="str">
        <f>"R-"&amp;D56&amp;"-"&amp;E56&amp;" "&amp;IF(F56="±0,03","A",IF(F56="±0,1","B",IF(F56="±0,25","C",IF(F56="±0,5","D",IF(F56="±1%","F",IF(F56="±2%","G",IF(F56="±5%","J",IF(F56="±10%","K",IF(F56="±20%","M","")))))))))</f>
        <v>R-0402-33R F</v>
      </c>
      <c r="L56" s="11" t="str">
        <f>K56</f>
        <v>R-0402-33R F</v>
      </c>
    </row>
    <row r="57" spans="1:12" x14ac:dyDescent="0.25">
      <c r="A57" s="11" t="s">
        <v>557</v>
      </c>
      <c r="B57" s="3" t="s">
        <v>558</v>
      </c>
      <c r="C57" s="11" t="s">
        <v>318</v>
      </c>
      <c r="D57" s="11" t="s">
        <v>129</v>
      </c>
      <c r="E57" s="11" t="s">
        <v>378</v>
      </c>
      <c r="F57" s="21" t="s">
        <v>320</v>
      </c>
      <c r="G57" s="11" t="s">
        <v>321</v>
      </c>
      <c r="H57" s="11" t="s">
        <v>322</v>
      </c>
      <c r="I57" s="11" t="s">
        <v>323</v>
      </c>
      <c r="J57" s="12" t="str">
        <f>"R"&amp;D57</f>
        <v>R0201</v>
      </c>
      <c r="K57" s="12" t="str">
        <f>"R-"&amp;D57&amp;"-"&amp;E57&amp;" "&amp;IF(F57="±0,03","A",IF(F57="±0,1","B",IF(F57="±0,25","C",IF(F57="±0,5","D",IF(F57="±1%","F",IF(F57="±2%","G",IF(F57="±5%","J",IF(F57="±10%","K",IF(F57="±20%","M","")))))))))</f>
        <v>R-0201-33R F</v>
      </c>
      <c r="L57" s="11" t="str">
        <f>K57</f>
        <v>R-0201-33R F</v>
      </c>
    </row>
    <row r="58" spans="1:12" x14ac:dyDescent="0.25">
      <c r="A58" s="11" t="s">
        <v>586</v>
      </c>
      <c r="B58" s="3" t="s">
        <v>587</v>
      </c>
      <c r="C58" s="11" t="s">
        <v>318</v>
      </c>
      <c r="D58" s="11" t="s">
        <v>60</v>
      </c>
      <c r="E58" s="11" t="s">
        <v>378</v>
      </c>
      <c r="F58" s="21" t="s">
        <v>320</v>
      </c>
      <c r="G58" s="11" t="s">
        <v>321</v>
      </c>
      <c r="H58" s="11" t="s">
        <v>322</v>
      </c>
      <c r="I58" s="11" t="s">
        <v>323</v>
      </c>
      <c r="J58" s="12" t="str">
        <f>"R"&amp;D58</f>
        <v>R0805</v>
      </c>
      <c r="K58" s="12" t="str">
        <f>"R-"&amp;D58&amp;"-"&amp;E58&amp;" "&amp;IF(F58="±0,03","A",IF(F58="±0,1","B",IF(F58="±0,25","C",IF(F58="±0,5","D",IF(F58="±1%","F",IF(F58="±2%","G",IF(F58="±5%","J",IF(F58="±10%","K",IF(F58="±20%","M","")))))))))</f>
        <v>R-0805-33R F</v>
      </c>
      <c r="L58" s="11" t="str">
        <f>K58</f>
        <v>R-0805-33R F</v>
      </c>
    </row>
    <row r="59" spans="1:12" x14ac:dyDescent="0.25">
      <c r="A59" s="36" t="s">
        <v>1396</v>
      </c>
      <c r="B59" s="36" t="s">
        <v>1397</v>
      </c>
      <c r="C59" s="11" t="s">
        <v>318</v>
      </c>
      <c r="D59" s="5" t="s">
        <v>19</v>
      </c>
      <c r="E59" s="36" t="s">
        <v>1398</v>
      </c>
      <c r="F59" s="21" t="s">
        <v>320</v>
      </c>
      <c r="G59" s="11" t="s">
        <v>321</v>
      </c>
      <c r="H59" s="11" t="s">
        <v>322</v>
      </c>
      <c r="I59" s="11" t="s">
        <v>323</v>
      </c>
      <c r="J59" s="12" t="str">
        <f>"R"&amp;D59</f>
        <v>R0402</v>
      </c>
      <c r="K59" s="12" t="str">
        <f>"R-"&amp;D59&amp;"-"&amp;E59&amp;" "&amp;IF(F59="±0,03","A",IF(F59="±0,1","B",IF(F59="±0,25","C",IF(F59="±0,5","D",IF(F59="±1%","F",IF(F59="±2%","G",IF(F59="±5%","J",IF(F59="±10%","K",IF(F59="±20%","M","")))))))))</f>
        <v>R-0402-35K8 F</v>
      </c>
      <c r="L59" s="11" t="str">
        <f>K59</f>
        <v>R-0402-35K8 F</v>
      </c>
    </row>
    <row r="60" spans="1:12" x14ac:dyDescent="0.25">
      <c r="A60" s="11" t="s">
        <v>494</v>
      </c>
      <c r="B60" s="3" t="s">
        <v>495</v>
      </c>
      <c r="C60" s="11" t="s">
        <v>318</v>
      </c>
      <c r="D60" s="5" t="s">
        <v>19</v>
      </c>
      <c r="E60" s="11" t="s">
        <v>496</v>
      </c>
      <c r="F60" s="21" t="s">
        <v>320</v>
      </c>
      <c r="G60" s="11" t="s">
        <v>321</v>
      </c>
      <c r="H60" s="11" t="s">
        <v>322</v>
      </c>
      <c r="I60" s="11" t="s">
        <v>323</v>
      </c>
      <c r="J60" s="12" t="str">
        <f>"R"&amp;D60</f>
        <v>R0402</v>
      </c>
      <c r="K60" s="12" t="str">
        <f>"R-"&amp;D60&amp;"-"&amp;E60&amp;" "&amp;IF(F60="±0,03","A",IF(F60="±0,1","B",IF(F60="±0,25","C",IF(F60="±0,5","D",IF(F60="±1%","F",IF(F60="±2%","G",IF(F60="±5%","J",IF(F60="±10%","K",IF(F60="±20%","M","")))))))))</f>
        <v>R-0402-36K F</v>
      </c>
      <c r="L60" s="11" t="str">
        <f>K60</f>
        <v>R-0402-36K F</v>
      </c>
    </row>
    <row r="61" spans="1:12" x14ac:dyDescent="0.25">
      <c r="A61" s="11" t="s">
        <v>379</v>
      </c>
      <c r="B61" s="11" t="s">
        <v>380</v>
      </c>
      <c r="C61" s="11" t="s">
        <v>318</v>
      </c>
      <c r="D61" s="5" t="s">
        <v>19</v>
      </c>
      <c r="E61" s="11" t="s">
        <v>381</v>
      </c>
      <c r="F61" s="21" t="s">
        <v>320</v>
      </c>
      <c r="G61" s="11" t="s">
        <v>321</v>
      </c>
      <c r="H61" s="11" t="s">
        <v>322</v>
      </c>
      <c r="I61" s="11" t="s">
        <v>323</v>
      </c>
      <c r="J61" s="12" t="str">
        <f>"R"&amp;D61</f>
        <v>R0402</v>
      </c>
      <c r="K61" s="12" t="str">
        <f>"R-"&amp;D61&amp;"-"&amp;E61&amp;" "&amp;IF(F61="±0,03","A",IF(F61="±0,1","B",IF(F61="±0,25","C",IF(F61="±0,5","D",IF(F61="±1%","F",IF(F61="±2%","G",IF(F61="±5%","J",IF(F61="±10%","K",IF(F61="±20%","M","")))))))))</f>
        <v>R-0402-3K F</v>
      </c>
      <c r="L61" s="11" t="str">
        <f>K61</f>
        <v>R-0402-3K F</v>
      </c>
    </row>
    <row r="62" spans="1:12" x14ac:dyDescent="0.25">
      <c r="A62" s="11" t="s">
        <v>517</v>
      </c>
      <c r="B62" s="11" t="s">
        <v>518</v>
      </c>
      <c r="C62" s="11" t="s">
        <v>318</v>
      </c>
      <c r="D62" s="5" t="s">
        <v>19</v>
      </c>
      <c r="E62" s="11" t="s">
        <v>519</v>
      </c>
      <c r="F62" s="21" t="s">
        <v>320</v>
      </c>
      <c r="G62" s="11" t="s">
        <v>321</v>
      </c>
      <c r="H62" s="11" t="s">
        <v>322</v>
      </c>
      <c r="I62" s="11" t="s">
        <v>323</v>
      </c>
      <c r="J62" s="12" t="str">
        <f>"R"&amp;D62</f>
        <v>R0402</v>
      </c>
      <c r="K62" s="12" t="str">
        <f>"R-"&amp;D62&amp;"-"&amp;E62&amp;" "&amp;IF(F62="±0,03","A",IF(F62="±0,1","B",IF(F62="±0,25","C",IF(F62="±0,5","D",IF(F62="±1%","F",IF(F62="±2%","G",IF(F62="±5%","J",IF(F62="±10%","K",IF(F62="±20%","M","")))))))))</f>
        <v>R-0402-3K01 F</v>
      </c>
      <c r="L62" s="11" t="str">
        <f>K62</f>
        <v>R-0402-3K01 F</v>
      </c>
    </row>
    <row r="63" spans="1:12" x14ac:dyDescent="0.25">
      <c r="A63" s="11" t="s">
        <v>551</v>
      </c>
      <c r="B63" s="3" t="s">
        <v>552</v>
      </c>
      <c r="C63" s="11" t="s">
        <v>318</v>
      </c>
      <c r="D63" s="5" t="s">
        <v>129</v>
      </c>
      <c r="E63" s="11" t="s">
        <v>553</v>
      </c>
      <c r="F63" s="21" t="s">
        <v>320</v>
      </c>
      <c r="G63" s="11" t="s">
        <v>321</v>
      </c>
      <c r="H63" s="11" t="s">
        <v>322</v>
      </c>
      <c r="I63" s="11" t="s">
        <v>323</v>
      </c>
      <c r="J63" s="12" t="str">
        <f>"R"&amp;D63</f>
        <v>R0201</v>
      </c>
      <c r="K63" s="12" t="str">
        <f>"R-"&amp;D63&amp;"-"&amp;E63&amp;" "&amp;IF(F63="±0,03","A",IF(F63="±0,1","B",IF(F63="±0,25","C",IF(F63="±0,5","D",IF(F63="±1%","F",IF(F63="±2%","G",IF(F63="±5%","J",IF(F63="±10%","K",IF(F63="±20%","M","")))))))))</f>
        <v>R-0201-3K57 F</v>
      </c>
      <c r="L63" s="11" t="str">
        <f>K63</f>
        <v>R-0201-3K57 F</v>
      </c>
    </row>
    <row r="64" spans="1:12" x14ac:dyDescent="0.25">
      <c r="A64" s="11" t="s">
        <v>514</v>
      </c>
      <c r="B64" s="3" t="s">
        <v>515</v>
      </c>
      <c r="C64" s="11" t="s">
        <v>318</v>
      </c>
      <c r="D64" s="5" t="s">
        <v>19</v>
      </c>
      <c r="E64" s="11" t="s">
        <v>516</v>
      </c>
      <c r="F64" s="21" t="s">
        <v>320</v>
      </c>
      <c r="G64" s="11" t="s">
        <v>321</v>
      </c>
      <c r="H64" s="11" t="s">
        <v>322</v>
      </c>
      <c r="I64" s="11" t="s">
        <v>323</v>
      </c>
      <c r="J64" s="12" t="str">
        <f>"R"&amp;D64</f>
        <v>R0402</v>
      </c>
      <c r="K64" s="12" t="str">
        <f>"R-"&amp;D64&amp;"-"&amp;E64&amp;" "&amp;IF(F64="±0,03","A",IF(F64="±0,1","B",IF(F64="±0,25","C",IF(F64="±0,5","D",IF(F64="±1%","F",IF(F64="±2%","G",IF(F64="±5%","J",IF(F64="±10%","K",IF(F64="±20%","M","")))))))))</f>
        <v>R-0402-3K74 F</v>
      </c>
      <c r="L64" s="11" t="str">
        <f>K64</f>
        <v>R-0402-3K74 F</v>
      </c>
    </row>
    <row r="65" spans="1:12" x14ac:dyDescent="0.25">
      <c r="A65" s="11" t="s">
        <v>382</v>
      </c>
      <c r="B65" s="3" t="s">
        <v>383</v>
      </c>
      <c r="C65" s="11" t="s">
        <v>318</v>
      </c>
      <c r="D65" s="5" t="s">
        <v>19</v>
      </c>
      <c r="E65" s="11" t="s">
        <v>384</v>
      </c>
      <c r="F65" s="21" t="s">
        <v>320</v>
      </c>
      <c r="G65" s="11" t="s">
        <v>321</v>
      </c>
      <c r="H65" s="11" t="s">
        <v>322</v>
      </c>
      <c r="I65" s="11" t="s">
        <v>323</v>
      </c>
      <c r="J65" s="12" t="str">
        <f>"R"&amp;D65</f>
        <v>R0402</v>
      </c>
      <c r="K65" s="12" t="str">
        <f>"R-"&amp;D65&amp;"-"&amp;E65&amp;" "&amp;IF(F65="±0,03","A",IF(F65="±0,1","B",IF(F65="±0,25","C",IF(F65="±0,5","D",IF(F65="±1%","F",IF(F65="±2%","G",IF(F65="±5%","J",IF(F65="±10%","K",IF(F65="±20%","M","")))))))))</f>
        <v>R-0402-3K9 F</v>
      </c>
      <c r="L65" s="11" t="str">
        <f>K65</f>
        <v>R-0402-3K9 F</v>
      </c>
    </row>
    <row r="66" spans="1:12" x14ac:dyDescent="0.25">
      <c r="A66" s="11" t="s">
        <v>588</v>
      </c>
      <c r="B66" s="11" t="s">
        <v>589</v>
      </c>
      <c r="C66" s="11" t="s">
        <v>318</v>
      </c>
      <c r="D66" s="5" t="s">
        <v>19</v>
      </c>
      <c r="E66" s="11" t="s">
        <v>590</v>
      </c>
      <c r="F66" s="21" t="s">
        <v>320</v>
      </c>
      <c r="G66" s="11" t="s">
        <v>321</v>
      </c>
      <c r="H66" s="11" t="s">
        <v>322</v>
      </c>
      <c r="I66" s="11" t="s">
        <v>323</v>
      </c>
      <c r="J66" s="12" t="str">
        <f>"R"&amp;D66</f>
        <v>R0402</v>
      </c>
      <c r="K66" s="12" t="str">
        <f>"R-"&amp;D66&amp;"-"&amp;E66&amp;" "&amp;IF(F66="±0,03","A",IF(F66="±0,1","B",IF(F66="±0,25","C",IF(F66="±0,5","D",IF(F66="±1%","F",IF(F66="±2%","G",IF(F66="±5%","J",IF(F66="±10%","K",IF(F66="±20%","M","")))))))))</f>
        <v>R-0402-3K92 F</v>
      </c>
      <c r="L66" s="11" t="str">
        <f>K66</f>
        <v>R-0402-3K92 F</v>
      </c>
    </row>
    <row r="67" spans="1:12" x14ac:dyDescent="0.25">
      <c r="A67" s="11" t="s">
        <v>385</v>
      </c>
      <c r="B67" s="11" t="s">
        <v>386</v>
      </c>
      <c r="C67" s="11" t="s">
        <v>318</v>
      </c>
      <c r="D67" s="5" t="s">
        <v>19</v>
      </c>
      <c r="E67" s="11" t="s">
        <v>387</v>
      </c>
      <c r="F67" s="21" t="s">
        <v>320</v>
      </c>
      <c r="G67" s="11" t="s">
        <v>321</v>
      </c>
      <c r="H67" s="11" t="s">
        <v>322</v>
      </c>
      <c r="I67" s="11" t="s">
        <v>323</v>
      </c>
      <c r="J67" s="12" t="str">
        <f>"R"&amp;D67</f>
        <v>R0402</v>
      </c>
      <c r="K67" s="12" t="str">
        <f>"R-"&amp;D67&amp;"-"&amp;E67&amp;" "&amp;IF(F67="±0,03","A",IF(F67="±0,1","B",IF(F67="±0,25","C",IF(F67="±0,5","D",IF(F67="±1%","F",IF(F67="±2%","G",IF(F67="±5%","J",IF(F67="±10%","K",IF(F67="±20%","M","")))))))))</f>
        <v>R-0402-40K2 F</v>
      </c>
      <c r="L67" s="11" t="str">
        <f>K67</f>
        <v>R-0402-40K2 F</v>
      </c>
    </row>
    <row r="68" spans="1:12" x14ac:dyDescent="0.25">
      <c r="A68" s="11" t="s">
        <v>426</v>
      </c>
      <c r="B68" s="11" t="s">
        <v>427</v>
      </c>
      <c r="C68" s="11" t="s">
        <v>318</v>
      </c>
      <c r="D68" s="5" t="s">
        <v>19</v>
      </c>
      <c r="E68" s="11" t="s">
        <v>428</v>
      </c>
      <c r="F68" s="21" t="s">
        <v>320</v>
      </c>
      <c r="G68" s="11" t="s">
        <v>321</v>
      </c>
      <c r="H68" s="11" t="s">
        <v>322</v>
      </c>
      <c r="I68" s="11" t="s">
        <v>323</v>
      </c>
      <c r="J68" s="12" t="str">
        <f>"R"&amp;D68</f>
        <v>R0402</v>
      </c>
      <c r="K68" s="12" t="str">
        <f>"R-"&amp;D68&amp;"-"&amp;E68&amp;" "&amp;IF(F68="±0,03","A",IF(F68="±0,1","B",IF(F68="±0,25","C",IF(F68="±0,5","D",IF(F68="±1%","F",IF(F68="±2%","G",IF(F68="±5%","J",IF(F68="±10%","K",IF(F68="±20%","M","")))))))))</f>
        <v>R-0402-412K F</v>
      </c>
      <c r="L68" s="11" t="str">
        <f>K68</f>
        <v>R-0402-412K F</v>
      </c>
    </row>
    <row r="69" spans="1:12" x14ac:dyDescent="0.25">
      <c r="A69" s="11" t="s">
        <v>577</v>
      </c>
      <c r="B69" s="11" t="s">
        <v>578</v>
      </c>
      <c r="C69" s="11" t="s">
        <v>318</v>
      </c>
      <c r="D69" s="5" t="s">
        <v>19</v>
      </c>
      <c r="E69" s="11" t="s">
        <v>579</v>
      </c>
      <c r="F69" s="21" t="s">
        <v>320</v>
      </c>
      <c r="G69" s="11" t="s">
        <v>321</v>
      </c>
      <c r="H69" s="11" t="s">
        <v>322</v>
      </c>
      <c r="I69" s="11" t="s">
        <v>323</v>
      </c>
      <c r="J69" s="12" t="str">
        <f>"R"&amp;D69</f>
        <v>R0402</v>
      </c>
      <c r="K69" s="12" t="str">
        <f>"R-"&amp;D69&amp;"-"&amp;E69&amp;" "&amp;IF(F69="±0,03","A",IF(F69="±0,1","B",IF(F69="±0,25","C",IF(F69="±0,5","D",IF(F69="±1%","F",IF(F69="±2%","G",IF(F69="±5%","J",IF(F69="±10%","K",IF(F69="±20%","M","")))))))))</f>
        <v>R-0402-45K3 F</v>
      </c>
      <c r="L69" s="11" t="str">
        <f>K69</f>
        <v>R-0402-45K3 F</v>
      </c>
    </row>
    <row r="70" spans="1:12" x14ac:dyDescent="0.25">
      <c r="A70" s="11" t="s">
        <v>388</v>
      </c>
      <c r="B70" s="11" t="s">
        <v>389</v>
      </c>
      <c r="C70" s="11" t="s">
        <v>318</v>
      </c>
      <c r="D70" s="5" t="s">
        <v>19</v>
      </c>
      <c r="E70" s="11" t="s">
        <v>390</v>
      </c>
      <c r="F70" s="21" t="s">
        <v>320</v>
      </c>
      <c r="G70" s="11" t="s">
        <v>321</v>
      </c>
      <c r="H70" s="11" t="s">
        <v>322</v>
      </c>
      <c r="I70" s="11" t="s">
        <v>323</v>
      </c>
      <c r="J70" s="12" t="str">
        <f>"R"&amp;D70</f>
        <v>R0402</v>
      </c>
      <c r="K70" s="12" t="str">
        <f>"R-"&amp;D70&amp;"-"&amp;E70&amp;" "&amp;IF(F70="±0,03","A",IF(F70="±0,1","B",IF(F70="±0,25","C",IF(F70="±0,5","D",IF(F70="±1%","F",IF(F70="±2%","G",IF(F70="±5%","J",IF(F70="±10%","K",IF(F70="±20%","M","")))))))))</f>
        <v>R-0402-47K5 F</v>
      </c>
      <c r="L70" s="11" t="str">
        <f>K70</f>
        <v>R-0402-47K5 F</v>
      </c>
    </row>
    <row r="71" spans="1:12" x14ac:dyDescent="0.25">
      <c r="A71" s="11" t="s">
        <v>574</v>
      </c>
      <c r="B71" s="3" t="s">
        <v>575</v>
      </c>
      <c r="C71" s="11" t="s">
        <v>318</v>
      </c>
      <c r="D71" s="5" t="s">
        <v>19</v>
      </c>
      <c r="E71" s="11" t="s">
        <v>576</v>
      </c>
      <c r="F71" s="21" t="s">
        <v>320</v>
      </c>
      <c r="G71" s="11" t="s">
        <v>321</v>
      </c>
      <c r="H71" s="11" t="s">
        <v>322</v>
      </c>
      <c r="I71" s="11" t="s">
        <v>323</v>
      </c>
      <c r="J71" s="12" t="str">
        <f>"R"&amp;D71</f>
        <v>R0402</v>
      </c>
      <c r="K71" s="12" t="str">
        <f>"R-"&amp;D71&amp;"-"&amp;E71&amp;" "&amp;IF(F71="±0,03","A",IF(F71="±0,1","B",IF(F71="±0,25","C",IF(F71="±0,5","D",IF(F71="±1%","F",IF(F71="±2%","G",IF(F71="±5%","J",IF(F71="±10%","K",IF(F71="±20%","M","")))))))))</f>
        <v>R-0402-47R F</v>
      </c>
      <c r="L71" s="11" t="str">
        <f>K71</f>
        <v>R-0402-47R F</v>
      </c>
    </row>
    <row r="72" spans="1:12" x14ac:dyDescent="0.25">
      <c r="A72" s="11" t="s">
        <v>391</v>
      </c>
      <c r="B72" s="11" t="s">
        <v>392</v>
      </c>
      <c r="C72" s="11" t="s">
        <v>318</v>
      </c>
      <c r="D72" s="5" t="s">
        <v>19</v>
      </c>
      <c r="E72" s="11" t="s">
        <v>393</v>
      </c>
      <c r="F72" s="21" t="s">
        <v>320</v>
      </c>
      <c r="G72" s="11" t="s">
        <v>321</v>
      </c>
      <c r="H72" s="11" t="s">
        <v>322</v>
      </c>
      <c r="I72" s="11" t="s">
        <v>323</v>
      </c>
      <c r="J72" s="12" t="str">
        <f>"R"&amp;D72</f>
        <v>R0402</v>
      </c>
      <c r="K72" s="12" t="str">
        <f>"R-"&amp;D72&amp;"-"&amp;E72&amp;" "&amp;IF(F72="±0,03","A",IF(F72="±0,1","B",IF(F72="±0,25","C",IF(F72="±0,5","D",IF(F72="±1%","F",IF(F72="±2%","G",IF(F72="±5%","J",IF(F72="±10%","K",IF(F72="±20%","M","")))))))))</f>
        <v>R-0402-499K F</v>
      </c>
      <c r="L72" s="11" t="str">
        <f>K72</f>
        <v>R-0402-499K F</v>
      </c>
    </row>
    <row r="73" spans="1:12" x14ac:dyDescent="0.25">
      <c r="A73" s="11" t="s">
        <v>476</v>
      </c>
      <c r="B73" s="3" t="s">
        <v>477</v>
      </c>
      <c r="C73" s="11" t="s">
        <v>318</v>
      </c>
      <c r="D73" s="11" t="s">
        <v>19</v>
      </c>
      <c r="E73" s="11" t="s">
        <v>478</v>
      </c>
      <c r="F73" s="21" t="s">
        <v>320</v>
      </c>
      <c r="G73" s="11" t="s">
        <v>321</v>
      </c>
      <c r="H73" s="11" t="s">
        <v>322</v>
      </c>
      <c r="I73" s="11" t="s">
        <v>323</v>
      </c>
      <c r="J73" s="12" t="str">
        <f>"R"&amp;D73</f>
        <v>R0402</v>
      </c>
      <c r="K73" s="12" t="str">
        <f>"R-"&amp;D73&amp;"-"&amp;E73&amp;" "&amp;IF(F73="±0,03","A",IF(F73="±0,1","B",IF(F73="±0,25","C",IF(F73="±0,5","D",IF(F73="±1%","F",IF(F73="±2%","G",IF(F73="±5%","J",IF(F73="±10%","K",IF(F73="±20%","M","")))))))))</f>
        <v>R-0402-49K9 F</v>
      </c>
      <c r="L73" s="11" t="str">
        <f>K73</f>
        <v>R-0402-49K9 F</v>
      </c>
    </row>
    <row r="74" spans="1:12" x14ac:dyDescent="0.25">
      <c r="A74" s="11" t="s">
        <v>482</v>
      </c>
      <c r="B74" s="3" t="s">
        <v>483</v>
      </c>
      <c r="C74" s="11" t="s">
        <v>318</v>
      </c>
      <c r="D74" s="5" t="s">
        <v>19</v>
      </c>
      <c r="E74" s="11" t="s">
        <v>484</v>
      </c>
      <c r="F74" s="21" t="s">
        <v>320</v>
      </c>
      <c r="G74" s="11" t="s">
        <v>321</v>
      </c>
      <c r="H74" s="11" t="s">
        <v>322</v>
      </c>
      <c r="I74" s="11" t="s">
        <v>323</v>
      </c>
      <c r="J74" s="12" t="str">
        <f>"R"&amp;D74</f>
        <v>R0402</v>
      </c>
      <c r="K74" s="12" t="str">
        <f>"R-"&amp;D74&amp;"-"&amp;E74&amp;" "&amp;IF(F74="±0,03","A",IF(F74="±0,1","B",IF(F74="±0,25","C",IF(F74="±0,5","D",IF(F74="±1%","F",IF(F74="±2%","G",IF(F74="±5%","J",IF(F74="±10%","K",IF(F74="±20%","M","")))))))))</f>
        <v>R-0402-49R9 F</v>
      </c>
      <c r="L74" s="11" t="str">
        <f>K74</f>
        <v>R-0402-49R9 F</v>
      </c>
    </row>
    <row r="75" spans="1:12" x14ac:dyDescent="0.25">
      <c r="A75" s="11" t="s">
        <v>506</v>
      </c>
      <c r="B75" s="3" t="s">
        <v>507</v>
      </c>
      <c r="C75" s="11" t="s">
        <v>318</v>
      </c>
      <c r="D75" s="11" t="s">
        <v>129</v>
      </c>
      <c r="E75" s="11" t="s">
        <v>484</v>
      </c>
      <c r="F75" s="21" t="s">
        <v>320</v>
      </c>
      <c r="G75" s="11" t="s">
        <v>321</v>
      </c>
      <c r="H75" s="11" t="s">
        <v>322</v>
      </c>
      <c r="I75" s="11" t="s">
        <v>323</v>
      </c>
      <c r="J75" s="12" t="str">
        <f>"R"&amp;D75</f>
        <v>R0201</v>
      </c>
      <c r="K75" s="12" t="str">
        <f>"R-"&amp;D75&amp;"-"&amp;E75&amp;" "&amp;IF(F75="±0,03","A",IF(F75="±0,1","B",IF(F75="±0,25","C",IF(F75="±0,5","D",IF(F75="±1%","F",IF(F75="±2%","G",IF(F75="±5%","J",IF(F75="±10%","K",IF(F75="±20%","M","")))))))))</f>
        <v>R-0201-49R9 F</v>
      </c>
      <c r="L75" s="11" t="str">
        <f>K75</f>
        <v>R-0201-49R9 F</v>
      </c>
    </row>
    <row r="76" spans="1:12" x14ac:dyDescent="0.25">
      <c r="A76" s="11" t="s">
        <v>566</v>
      </c>
      <c r="B76" s="3" t="s">
        <v>567</v>
      </c>
      <c r="C76" s="11" t="s">
        <v>318</v>
      </c>
      <c r="D76" s="11" t="s">
        <v>19</v>
      </c>
      <c r="E76" s="11" t="s">
        <v>484</v>
      </c>
      <c r="F76" s="21" t="s">
        <v>562</v>
      </c>
      <c r="G76" s="11" t="s">
        <v>321</v>
      </c>
      <c r="H76" s="11" t="s">
        <v>322</v>
      </c>
      <c r="I76" s="11" t="s">
        <v>323</v>
      </c>
      <c r="J76" s="12" t="str">
        <f>"R"&amp;D76</f>
        <v>R0402</v>
      </c>
      <c r="K76" s="12" t="str">
        <f>"R-"&amp;D76&amp;"-"&amp;E76&amp;" "&amp;IF(F76="±0,03","A",IF(F76="±0,1","B",IF(F76="±0,25","C",IF(F76="±0,5","D",IF(F76="±1%","F",IF(F76="±2%","G",IF(F76="±5%","J",IF(F76="±10%","K",IF(F76="±20%","M","")))))))))</f>
        <v xml:space="preserve">R-0402-49R9 </v>
      </c>
      <c r="L76" s="11" t="str">
        <f>K76</f>
        <v xml:space="preserve">R-0402-49R9 </v>
      </c>
    </row>
    <row r="77" spans="1:12" x14ac:dyDescent="0.25">
      <c r="A77" s="11" t="s">
        <v>1354</v>
      </c>
      <c r="B77" s="38" t="s">
        <v>1355</v>
      </c>
      <c r="C77" s="11" t="s">
        <v>318</v>
      </c>
      <c r="D77" s="11" t="s">
        <v>60</v>
      </c>
      <c r="E77" s="11" t="s">
        <v>484</v>
      </c>
      <c r="F77" s="21" t="s">
        <v>320</v>
      </c>
      <c r="G77" s="11" t="s">
        <v>321</v>
      </c>
      <c r="H77" s="11" t="s">
        <v>322</v>
      </c>
      <c r="I77" s="11" t="s">
        <v>323</v>
      </c>
      <c r="J77" s="12" t="str">
        <f>"R"&amp;D77</f>
        <v>R0805</v>
      </c>
      <c r="K77" s="12" t="str">
        <f>"R-"&amp;D77&amp;"-"&amp;E77&amp;" "&amp;IF(F77="±0,03","A",IF(F77="±0,1","B",IF(F77="±0,25","C",IF(F77="±0,5","D",IF(F77="±1%","F",IF(F77="±2%","G",IF(F77="±5%","J",IF(F77="±10%","K",IF(F77="±20%","M","")))))))))</f>
        <v>R-0805-49R9 F</v>
      </c>
      <c r="L77" s="11" t="str">
        <f>K77</f>
        <v>R-0805-49R9 F</v>
      </c>
    </row>
    <row r="78" spans="1:12" x14ac:dyDescent="0.25">
      <c r="A78" s="11" t="s">
        <v>580</v>
      </c>
      <c r="B78" s="11" t="s">
        <v>581</v>
      </c>
      <c r="C78" s="11" t="s">
        <v>318</v>
      </c>
      <c r="D78" s="5" t="s">
        <v>19</v>
      </c>
      <c r="E78" s="11" t="s">
        <v>582</v>
      </c>
      <c r="F78" s="21" t="s">
        <v>320</v>
      </c>
      <c r="G78" s="11" t="s">
        <v>321</v>
      </c>
      <c r="H78" s="11" t="s">
        <v>322</v>
      </c>
      <c r="I78" s="11" t="s">
        <v>323</v>
      </c>
      <c r="J78" s="12" t="str">
        <f>"R"&amp;D78</f>
        <v>R0402</v>
      </c>
      <c r="K78" s="12" t="str">
        <f>"R-"&amp;D78&amp;"-"&amp;E78&amp;" "&amp;IF(F78="±0,03","A",IF(F78="±0,1","B",IF(F78="±0,25","C",IF(F78="±0,5","D",IF(F78="±1%","F",IF(F78="±2%","G",IF(F78="±5%","J",IF(F78="±10%","K",IF(F78="±20%","M","")))))))))</f>
        <v>R-0402-4K7 F</v>
      </c>
      <c r="L78" s="11" t="str">
        <f>K78</f>
        <v>R-0402-4K7 F</v>
      </c>
    </row>
    <row r="79" spans="1:12" x14ac:dyDescent="0.25">
      <c r="A79" s="11" t="s">
        <v>402</v>
      </c>
      <c r="B79" s="3" t="s">
        <v>403</v>
      </c>
      <c r="C79" s="11" t="s">
        <v>318</v>
      </c>
      <c r="D79" s="5" t="s">
        <v>19</v>
      </c>
      <c r="E79" s="11" t="s">
        <v>404</v>
      </c>
      <c r="F79" s="21" t="s">
        <v>320</v>
      </c>
      <c r="G79" s="11" t="s">
        <v>321</v>
      </c>
      <c r="H79" s="11" t="s">
        <v>322</v>
      </c>
      <c r="I79" s="11" t="s">
        <v>323</v>
      </c>
      <c r="J79" s="12" t="str">
        <f>"R"&amp;D79</f>
        <v>R0402</v>
      </c>
      <c r="K79" s="12" t="str">
        <f>"R-"&amp;D79&amp;"-"&amp;E79&amp;" "&amp;IF(F79="±0,03","A",IF(F79="±0,1","B",IF(F79="±0,25","C",IF(F79="±0,5","D",IF(F79="±1%","F",IF(F79="±2%","G",IF(F79="±5%","J",IF(F79="±10%","K",IF(F79="±20%","M","")))))))))</f>
        <v>R-0402-4K99 F</v>
      </c>
      <c r="L79" s="11" t="str">
        <f>K79</f>
        <v>R-0402-4K99 F</v>
      </c>
    </row>
    <row r="80" spans="1:12" x14ac:dyDescent="0.25">
      <c r="A80" s="11" t="s">
        <v>542</v>
      </c>
      <c r="B80" s="3" t="s">
        <v>543</v>
      </c>
      <c r="C80" s="11" t="s">
        <v>318</v>
      </c>
      <c r="D80" s="5" t="s">
        <v>129</v>
      </c>
      <c r="E80" s="11" t="s">
        <v>404</v>
      </c>
      <c r="F80" s="21" t="s">
        <v>320</v>
      </c>
      <c r="G80" s="11" t="s">
        <v>321</v>
      </c>
      <c r="H80" s="11" t="s">
        <v>322</v>
      </c>
      <c r="I80" s="11" t="s">
        <v>323</v>
      </c>
      <c r="J80" s="12" t="str">
        <f>"R"&amp;D80</f>
        <v>R0201</v>
      </c>
      <c r="K80" s="12" t="str">
        <f>"R-"&amp;D80&amp;"-"&amp;E80&amp;" "&amp;IF(F80="±0,03","A",IF(F80="±0,1","B",IF(F80="±0,25","C",IF(F80="±0,5","D",IF(F80="±1%","F",IF(F80="±2%","G",IF(F80="±5%","J",IF(F80="±10%","K",IF(F80="±20%","M","")))))))))</f>
        <v>R-0201-4K99 F</v>
      </c>
      <c r="L80" s="11" t="str">
        <f>K80</f>
        <v>R-0201-4K99 F</v>
      </c>
    </row>
    <row r="81" spans="1:12" x14ac:dyDescent="0.25">
      <c r="A81" s="11" t="s">
        <v>542</v>
      </c>
      <c r="B81" s="3" t="s">
        <v>543</v>
      </c>
      <c r="C81" s="11" t="s">
        <v>318</v>
      </c>
      <c r="D81" s="46" t="s">
        <v>129</v>
      </c>
      <c r="E81" s="11" t="s">
        <v>404</v>
      </c>
      <c r="F81" s="21" t="s">
        <v>320</v>
      </c>
      <c r="G81" s="11" t="s">
        <v>321</v>
      </c>
      <c r="H81" s="11" t="s">
        <v>322</v>
      </c>
      <c r="I81" s="11" t="s">
        <v>323</v>
      </c>
      <c r="J81" s="12" t="str">
        <f>"R"&amp;D81</f>
        <v>R0201</v>
      </c>
      <c r="K81" s="12" t="str">
        <f>"R-"&amp;D81&amp;"-"&amp;E81&amp;" "&amp;IF(F81="±0,03","A",IF(F81="±0,1","B",IF(F81="±0,25","C",IF(F81="±0,5","D",IF(F81="±1%","F",IF(F81="±2%","G",IF(F81="±5%","J",IF(F81="±10%","K",IF(F81="±20%","M","")))))))))</f>
        <v>R-0201-4K99 F</v>
      </c>
      <c r="L81" s="11" t="str">
        <f>K81</f>
        <v>R-0201-4K99 F</v>
      </c>
    </row>
    <row r="82" spans="1:12" x14ac:dyDescent="0.25">
      <c r="A82" s="11" t="s">
        <v>394</v>
      </c>
      <c r="B82" s="3" t="s">
        <v>395</v>
      </c>
      <c r="C82" s="11" t="s">
        <v>318</v>
      </c>
      <c r="D82" s="5" t="s">
        <v>19</v>
      </c>
      <c r="E82" s="11" t="s">
        <v>396</v>
      </c>
      <c r="F82" s="21" t="s">
        <v>320</v>
      </c>
      <c r="G82" s="11" t="s">
        <v>321</v>
      </c>
      <c r="H82" s="11" t="s">
        <v>322</v>
      </c>
      <c r="I82" s="11" t="s">
        <v>323</v>
      </c>
      <c r="J82" s="12" t="str">
        <f>"R"&amp;D82</f>
        <v>R0402</v>
      </c>
      <c r="K82" s="12" t="str">
        <f>"R-"&amp;D82&amp;"-"&amp;E82&amp;" "&amp;IF(F82="±0,03","A",IF(F82="±0,1","B",IF(F82="±0,25","C",IF(F82="±0,5","D",IF(F82="±1%","F",IF(F82="±2%","G",IF(F82="±5%","J",IF(F82="±10%","K",IF(F82="±20%","M","")))))))))</f>
        <v>R-0402-50R F</v>
      </c>
      <c r="L82" s="11" t="str">
        <f>K82</f>
        <v>R-0402-50R F</v>
      </c>
    </row>
    <row r="83" spans="1:12" x14ac:dyDescent="0.25">
      <c r="A83" s="11" t="s">
        <v>453</v>
      </c>
      <c r="B83" s="11" t="s">
        <v>454</v>
      </c>
      <c r="C83" s="11" t="s">
        <v>318</v>
      </c>
      <c r="D83" s="5" t="s">
        <v>19</v>
      </c>
      <c r="E83" s="11" t="s">
        <v>455</v>
      </c>
      <c r="F83" s="21" t="s">
        <v>320</v>
      </c>
      <c r="G83" s="11" t="s">
        <v>321</v>
      </c>
      <c r="H83" s="11" t="s">
        <v>322</v>
      </c>
      <c r="I83" s="11" t="s">
        <v>323</v>
      </c>
      <c r="J83" s="12" t="str">
        <f>"R"&amp;D83</f>
        <v>R0402</v>
      </c>
      <c r="K83" s="12" t="str">
        <f>"R-"&amp;D83&amp;"-"&amp;E83&amp;" "&amp;IF(F83="±0,03","A",IF(F83="±0,1","B",IF(F83="±0,25","C",IF(F83="±0,5","D",IF(F83="±1%","F",IF(F83="±2%","G",IF(F83="±5%","J",IF(F83="±10%","K",IF(F83="±20%","M","")))))))))</f>
        <v>R-0402-52K3 F</v>
      </c>
      <c r="L83" s="11" t="str">
        <f>K83</f>
        <v>R-0402-52K3 F</v>
      </c>
    </row>
    <row r="84" spans="1:12" x14ac:dyDescent="0.25">
      <c r="A84" s="11" t="s">
        <v>397</v>
      </c>
      <c r="B84" s="3" t="s">
        <v>330</v>
      </c>
      <c r="C84" s="11" t="s">
        <v>318</v>
      </c>
      <c r="D84" s="5" t="s">
        <v>19</v>
      </c>
      <c r="E84" s="11" t="s">
        <v>398</v>
      </c>
      <c r="F84" s="21" t="s">
        <v>320</v>
      </c>
      <c r="G84" s="11" t="s">
        <v>321</v>
      </c>
      <c r="H84" s="11" t="s">
        <v>322</v>
      </c>
      <c r="I84" s="11" t="s">
        <v>323</v>
      </c>
      <c r="J84" s="12" t="str">
        <f>"R"&amp;D84</f>
        <v>R0402</v>
      </c>
      <c r="K84" s="12" t="str">
        <f>"R-"&amp;D84&amp;"-"&amp;E84&amp;" "&amp;IF(F84="±0,03","A",IF(F84="±0,1","B",IF(F84="±0,25","C",IF(F84="±0,5","D",IF(F84="±1%","F",IF(F84="±2%","G",IF(F84="±5%","J",IF(F84="±10%","K",IF(F84="±20%","M","")))))))))</f>
        <v>R-0402-560R F</v>
      </c>
      <c r="L84" s="11" t="str">
        <f>K84</f>
        <v>R-0402-560R F</v>
      </c>
    </row>
    <row r="85" spans="1:12" x14ac:dyDescent="0.25">
      <c r="A85" s="11" t="s">
        <v>399</v>
      </c>
      <c r="B85" s="3" t="s">
        <v>400</v>
      </c>
      <c r="C85" s="11" t="s">
        <v>318</v>
      </c>
      <c r="D85" s="5" t="s">
        <v>19</v>
      </c>
      <c r="E85" s="5" t="s">
        <v>401</v>
      </c>
      <c r="F85" s="21" t="s">
        <v>320</v>
      </c>
      <c r="G85" s="11" t="s">
        <v>321</v>
      </c>
      <c r="H85" s="11" t="s">
        <v>322</v>
      </c>
      <c r="I85" s="11" t="s">
        <v>323</v>
      </c>
      <c r="J85" s="12" t="str">
        <f>"R"&amp;D85</f>
        <v>R0402</v>
      </c>
      <c r="K85" s="12" t="str">
        <f>"R-"&amp;D85&amp;"-"&amp;E85&amp;" "&amp;IF(F85="±0,03","A",IF(F85="±0,1","B",IF(F85="±0,25","C",IF(F85="±0,5","D",IF(F85="±1%","F",IF(F85="±2%","G",IF(F85="±5%","J",IF(F85="±10%","K",IF(F85="±20%","M","")))))))))</f>
        <v>R-0402-56K F</v>
      </c>
      <c r="L85" s="11" t="str">
        <f>K85</f>
        <v>R-0402-56K F</v>
      </c>
    </row>
    <row r="86" spans="1:12" x14ac:dyDescent="0.25">
      <c r="A86" s="11" t="s">
        <v>503</v>
      </c>
      <c r="B86" s="3" t="s">
        <v>504</v>
      </c>
      <c r="C86" s="11" t="s">
        <v>318</v>
      </c>
      <c r="D86" s="11" t="s">
        <v>129</v>
      </c>
      <c r="E86" s="11" t="s">
        <v>505</v>
      </c>
      <c r="F86" s="21" t="s">
        <v>320</v>
      </c>
      <c r="G86" s="11" t="s">
        <v>321</v>
      </c>
      <c r="H86" s="11" t="s">
        <v>322</v>
      </c>
      <c r="I86" s="11" t="s">
        <v>323</v>
      </c>
      <c r="J86" s="12" t="str">
        <f>"R"&amp;D86</f>
        <v>R0201</v>
      </c>
      <c r="K86" s="12" t="str">
        <f>"R-"&amp;D86&amp;"-"&amp;E86&amp;" "&amp;IF(F86="±0,03","A",IF(F86="±0,1","B",IF(F86="±0,25","C",IF(F86="±0,5","D",IF(F86="±1%","F",IF(F86="±2%","G",IF(F86="±5%","J",IF(F86="±10%","K",IF(F86="±20%","M","")))))))))</f>
        <v>R-0201-56R F</v>
      </c>
      <c r="L86" s="11" t="str">
        <f>K86</f>
        <v>R-0201-56R F</v>
      </c>
    </row>
    <row r="87" spans="1:12" x14ac:dyDescent="0.25">
      <c r="A87" s="11" t="s">
        <v>594</v>
      </c>
      <c r="B87" s="11" t="s">
        <v>595</v>
      </c>
      <c r="C87" s="11" t="s">
        <v>318</v>
      </c>
      <c r="D87" s="5" t="s">
        <v>19</v>
      </c>
      <c r="E87" s="11" t="s">
        <v>596</v>
      </c>
      <c r="F87" s="21" t="s">
        <v>320</v>
      </c>
      <c r="G87" s="11" t="s">
        <v>321</v>
      </c>
      <c r="H87" s="11" t="s">
        <v>322</v>
      </c>
      <c r="I87" s="11" t="s">
        <v>323</v>
      </c>
      <c r="J87" s="12" t="str">
        <f>"R"&amp;D87</f>
        <v>R0402</v>
      </c>
      <c r="K87" s="12" t="str">
        <f>"R-"&amp;D87&amp;"-"&amp;E87&amp;" "&amp;IF(F87="±0,03","A",IF(F87="±0,1","B",IF(F87="±0,25","C",IF(F87="±0,5","D",IF(F87="±1%","F",IF(F87="±2%","G",IF(F87="±5%","J",IF(F87="±10%","K",IF(F87="±20%","M","")))))))))</f>
        <v>R-0402-5K11 F</v>
      </c>
      <c r="L87" s="11" t="str">
        <f>K87</f>
        <v>R-0402-5K11 F</v>
      </c>
    </row>
    <row r="88" spans="1:12" x14ac:dyDescent="0.25">
      <c r="A88" s="11" t="s">
        <v>444</v>
      </c>
      <c r="B88" s="11" t="s">
        <v>445</v>
      </c>
      <c r="C88" s="11" t="s">
        <v>318</v>
      </c>
      <c r="D88" s="11" t="s">
        <v>19</v>
      </c>
      <c r="E88" s="11" t="s">
        <v>446</v>
      </c>
      <c r="F88" s="21" t="s">
        <v>320</v>
      </c>
      <c r="G88" s="11" t="s">
        <v>321</v>
      </c>
      <c r="H88" s="11" t="s">
        <v>322</v>
      </c>
      <c r="I88" s="11" t="s">
        <v>323</v>
      </c>
      <c r="J88" s="12" t="str">
        <f>"R"&amp;D88</f>
        <v>R0402</v>
      </c>
      <c r="K88" s="12" t="str">
        <f>"R-"&amp;D88&amp;"-"&amp;E88&amp;" "&amp;IF(F88="±0,03","A",IF(F88="±0,1","B",IF(F88="±0,25","C",IF(F88="±0,5","D",IF(F88="±1%","F",IF(F88="±2%","G",IF(F88="±5%","J",IF(F88="±10%","K",IF(F88="±20%","M","")))))))))</f>
        <v>R-0402-5K76 F</v>
      </c>
      <c r="L88" s="11" t="str">
        <f>K88</f>
        <v>R-0402-5K76 F</v>
      </c>
    </row>
    <row r="89" spans="1:12" x14ac:dyDescent="0.25">
      <c r="A89" s="11" t="s">
        <v>537</v>
      </c>
      <c r="B89" s="11" t="s">
        <v>538</v>
      </c>
      <c r="C89" s="11" t="s">
        <v>318</v>
      </c>
      <c r="D89" s="5" t="s">
        <v>19</v>
      </c>
      <c r="E89" s="11" t="s">
        <v>539</v>
      </c>
      <c r="F89" s="21" t="s">
        <v>320</v>
      </c>
      <c r="G89" s="11" t="s">
        <v>321</v>
      </c>
      <c r="H89" s="11" t="s">
        <v>322</v>
      </c>
      <c r="I89" s="11" t="s">
        <v>323</v>
      </c>
      <c r="J89" s="12" t="str">
        <f>"R"&amp;D89</f>
        <v>R0402</v>
      </c>
      <c r="K89" s="12" t="str">
        <f>"R-"&amp;D89&amp;"-"&amp;E89&amp;" "&amp;IF(F89="±0,03","A",IF(F89="±0,1","B",IF(F89="±0,25","C",IF(F89="±0,5","D",IF(F89="±1%","F",IF(F89="±2%","G",IF(F89="±5%","J",IF(F89="±10%","K",IF(F89="±20%","M","")))))))))</f>
        <v>R-0402-60K4 F</v>
      </c>
      <c r="L89" s="11" t="str">
        <f>K89</f>
        <v>R-0402-60K4 F</v>
      </c>
    </row>
    <row r="90" spans="1:12" x14ac:dyDescent="0.25">
      <c r="A90" s="11" t="s">
        <v>414</v>
      </c>
      <c r="B90" s="11" t="s">
        <v>415</v>
      </c>
      <c r="C90" s="11" t="s">
        <v>318</v>
      </c>
      <c r="D90" s="5" t="s">
        <v>19</v>
      </c>
      <c r="E90" s="11" t="s">
        <v>416</v>
      </c>
      <c r="F90" s="21" t="s">
        <v>320</v>
      </c>
      <c r="G90" s="11" t="s">
        <v>321</v>
      </c>
      <c r="H90" s="11" t="s">
        <v>322</v>
      </c>
      <c r="I90" s="11" t="s">
        <v>323</v>
      </c>
      <c r="J90" s="12" t="str">
        <f>"R"&amp;D90</f>
        <v>R0402</v>
      </c>
      <c r="K90" s="12" t="str">
        <f>"R-"&amp;D90&amp;"-"&amp;E90&amp;" "&amp;IF(F90="±0,03","A",IF(F90="±0,1","B",IF(F90="±0,25","C",IF(F90="±0,5","D",IF(F90="±1%","F",IF(F90="±2%","G",IF(F90="±5%","J",IF(F90="±10%","K",IF(F90="±20%","M","")))))))))</f>
        <v>R-0402-66K5 F</v>
      </c>
      <c r="L90" s="11" t="str">
        <f>K90</f>
        <v>R-0402-66K5 F</v>
      </c>
    </row>
    <row r="91" spans="1:12" x14ac:dyDescent="0.25">
      <c r="A91" s="11" t="s">
        <v>405</v>
      </c>
      <c r="B91" s="3" t="s">
        <v>406</v>
      </c>
      <c r="C91" s="11" t="s">
        <v>318</v>
      </c>
      <c r="D91" s="5" t="s">
        <v>19</v>
      </c>
      <c r="E91" s="11" t="s">
        <v>407</v>
      </c>
      <c r="F91" s="21" t="s">
        <v>320</v>
      </c>
      <c r="G91" s="11" t="s">
        <v>321</v>
      </c>
      <c r="H91" s="11" t="s">
        <v>322</v>
      </c>
      <c r="I91" s="11" t="s">
        <v>323</v>
      </c>
      <c r="J91" s="12" t="str">
        <f>"R"&amp;D91</f>
        <v>R0402</v>
      </c>
      <c r="K91" s="12" t="str">
        <f>"R-"&amp;D91&amp;"-"&amp;E91&amp;" "&amp;IF(F91="±0,03","A",IF(F91="±0,1","B",IF(F91="±0,25","C",IF(F91="±0,5","D",IF(F91="±1%","F",IF(F91="±2%","G",IF(F91="±5%","J",IF(F91="±10%","K",IF(F91="±20%","M","")))))))))</f>
        <v>R-0402-68R1 F</v>
      </c>
      <c r="L91" s="11" t="str">
        <f>K91</f>
        <v>R-0402-68R1 F</v>
      </c>
    </row>
    <row r="92" spans="1:12" x14ac:dyDescent="0.25">
      <c r="A92" s="36" t="s">
        <v>1409</v>
      </c>
      <c r="B92" s="36" t="s">
        <v>1410</v>
      </c>
      <c r="C92" s="11" t="s">
        <v>318</v>
      </c>
      <c r="D92" s="5" t="s">
        <v>19</v>
      </c>
      <c r="E92" s="11" t="s">
        <v>1411</v>
      </c>
      <c r="F92" s="21" t="s">
        <v>320</v>
      </c>
      <c r="G92" s="11" t="s">
        <v>321</v>
      </c>
      <c r="H92" s="11" t="s">
        <v>322</v>
      </c>
      <c r="I92" s="11" t="s">
        <v>323</v>
      </c>
      <c r="J92" s="12" t="str">
        <f>"R"&amp;D92</f>
        <v>R0402</v>
      </c>
      <c r="K92" s="12" t="str">
        <f>"R-"&amp;D92&amp;"-"&amp;E92&amp;" "&amp;IF(F92="±0,03","A",IF(F92="±0,1","B",IF(F92="±0,25","C",IF(F92="±0,5","D",IF(F92="±1%","F",IF(F92="±2%","G",IF(F92="±5%","J",IF(F92="±10%","K",IF(F92="±20%","M","")))))))))</f>
        <v>R-0402-69K1 F</v>
      </c>
      <c r="L92" s="11" t="str">
        <f>K92</f>
        <v>R-0402-69K1 F</v>
      </c>
    </row>
    <row r="93" spans="1:12" x14ac:dyDescent="0.25">
      <c r="A93" s="11" t="s">
        <v>488</v>
      </c>
      <c r="B93" s="3" t="s">
        <v>489</v>
      </c>
      <c r="C93" s="11" t="s">
        <v>318</v>
      </c>
      <c r="D93" s="5" t="s">
        <v>19</v>
      </c>
      <c r="E93" s="11" t="s">
        <v>490</v>
      </c>
      <c r="F93" s="21" t="s">
        <v>320</v>
      </c>
      <c r="G93" s="11" t="s">
        <v>321</v>
      </c>
      <c r="H93" s="11" t="s">
        <v>322</v>
      </c>
      <c r="I93" s="11" t="s">
        <v>323</v>
      </c>
      <c r="J93" s="12" t="str">
        <f>"R"&amp;D93</f>
        <v>R0402</v>
      </c>
      <c r="K93" s="12" t="str">
        <f>"R-"&amp;D93&amp;"-"&amp;E93&amp;" "&amp;IF(F93="±0,03","A",IF(F93="±0,1","B",IF(F93="±0,25","C",IF(F93="±0,5","D",IF(F93="±1%","F",IF(F93="±2%","G",IF(F93="±5%","J",IF(F93="±10%","K",IF(F93="±20%","M","")))))))))</f>
        <v>R-0402-69R8 F</v>
      </c>
      <c r="L93" s="11" t="str">
        <f>K93</f>
        <v>R-0402-69R8 F</v>
      </c>
    </row>
    <row r="94" spans="1:12" x14ac:dyDescent="0.25">
      <c r="A94" s="11" t="s">
        <v>408</v>
      </c>
      <c r="B94" s="11" t="s">
        <v>409</v>
      </c>
      <c r="C94" s="11" t="s">
        <v>318</v>
      </c>
      <c r="D94" s="5" t="s">
        <v>19</v>
      </c>
      <c r="E94" s="11" t="s">
        <v>410</v>
      </c>
      <c r="F94" s="21" t="s">
        <v>320</v>
      </c>
      <c r="G94" s="11" t="s">
        <v>321</v>
      </c>
      <c r="H94" s="11" t="s">
        <v>322</v>
      </c>
      <c r="I94" s="11" t="s">
        <v>323</v>
      </c>
      <c r="J94" s="12" t="str">
        <f>"R"&amp;D94</f>
        <v>R0402</v>
      </c>
      <c r="K94" s="12" t="str">
        <f>"R-"&amp;D94&amp;"-"&amp;E94&amp;" "&amp;IF(F94="±0,03","A",IF(F94="±0,1","B",IF(F94="±0,25","C",IF(F94="±0,5","D",IF(F94="±1%","F",IF(F94="±2%","G",IF(F94="±5%","J",IF(F94="±10%","K",IF(F94="±20%","M","")))))))))</f>
        <v>R-0402-6K81 F</v>
      </c>
      <c r="L94" s="11" t="str">
        <f>K94</f>
        <v>R-0402-6K81 F</v>
      </c>
    </row>
    <row r="95" spans="1:12" x14ac:dyDescent="0.25">
      <c r="A95" s="11" t="s">
        <v>456</v>
      </c>
      <c r="B95" s="11" t="s">
        <v>457</v>
      </c>
      <c r="C95" s="11" t="s">
        <v>318</v>
      </c>
      <c r="D95" s="5" t="s">
        <v>19</v>
      </c>
      <c r="E95" s="11" t="s">
        <v>458</v>
      </c>
      <c r="F95" s="21" t="s">
        <v>320</v>
      </c>
      <c r="G95" s="11" t="s">
        <v>321</v>
      </c>
      <c r="H95" s="11" t="s">
        <v>322</v>
      </c>
      <c r="I95" s="11" t="s">
        <v>323</v>
      </c>
      <c r="J95" s="12" t="str">
        <f>"R"&amp;D95</f>
        <v>R0402</v>
      </c>
      <c r="K95" s="12" t="str">
        <f>"R-"&amp;D95&amp;"-"&amp;E95&amp;" "&amp;IF(F95="±0,03","A",IF(F95="±0,1","B",IF(F95="±0,25","C",IF(F95="±0,5","D",IF(F95="±1%","F",IF(F95="±2%","G",IF(F95="±5%","J",IF(F95="±10%","K",IF(F95="±20%","M","")))))))))</f>
        <v>R-0402-75K F</v>
      </c>
      <c r="L95" s="11" t="str">
        <f>K95</f>
        <v>R-0402-75K F</v>
      </c>
    </row>
    <row r="96" spans="1:12" x14ac:dyDescent="0.25">
      <c r="A96" s="11" t="s">
        <v>531</v>
      </c>
      <c r="B96" s="11" t="s">
        <v>532</v>
      </c>
      <c r="C96" s="11" t="s">
        <v>318</v>
      </c>
      <c r="D96" s="5" t="s">
        <v>19</v>
      </c>
      <c r="E96" s="11" t="s">
        <v>533</v>
      </c>
      <c r="F96" s="21" t="s">
        <v>320</v>
      </c>
      <c r="G96" s="11" t="s">
        <v>321</v>
      </c>
      <c r="H96" s="11" t="s">
        <v>322</v>
      </c>
      <c r="I96" s="11" t="s">
        <v>323</v>
      </c>
      <c r="J96" s="12" t="str">
        <f>"R"&amp;D96</f>
        <v>R0402</v>
      </c>
      <c r="K96" s="12" t="str">
        <f>"R-"&amp;D96&amp;"-"&amp;E96&amp;" "&amp;IF(F96="±0,03","A",IF(F96="±0,1","B",IF(F96="±0,25","C",IF(F96="±0,5","D",IF(F96="±1%","F",IF(F96="±2%","G",IF(F96="±5%","J",IF(F96="±10%","K",IF(F96="±20%","M","")))))))))</f>
        <v>R-0402-7K5 F</v>
      </c>
      <c r="L96" s="11" t="str">
        <f>K96</f>
        <v>R-0402-7K5 F</v>
      </c>
    </row>
    <row r="97" spans="1:12" x14ac:dyDescent="0.25">
      <c r="A97" s="11" t="s">
        <v>429</v>
      </c>
      <c r="B97" s="11" t="s">
        <v>430</v>
      </c>
      <c r="C97" s="11" t="s">
        <v>318</v>
      </c>
      <c r="D97" s="5" t="s">
        <v>19</v>
      </c>
      <c r="E97" s="11" t="s">
        <v>431</v>
      </c>
      <c r="F97" s="21" t="s">
        <v>320</v>
      </c>
      <c r="G97" s="11" t="s">
        <v>321</v>
      </c>
      <c r="H97" s="11" t="s">
        <v>322</v>
      </c>
      <c r="I97" s="11" t="s">
        <v>323</v>
      </c>
      <c r="J97" s="12" t="str">
        <f>"R"&amp;D97</f>
        <v>R0402</v>
      </c>
      <c r="K97" s="12" t="str">
        <f>"R-"&amp;D97&amp;"-"&amp;E97&amp;" "&amp;IF(F97="±0,03","A",IF(F97="±0,1","B",IF(F97="±0,25","C",IF(F97="±0,5","D",IF(F97="±1%","F",IF(F97="±2%","G",IF(F97="±5%","J",IF(F97="±10%","K",IF(F97="±20%","M","")))))))))</f>
        <v>R-0402-866K F</v>
      </c>
      <c r="L97" s="11" t="str">
        <f>K97</f>
        <v>R-0402-866K F</v>
      </c>
    </row>
    <row r="98" spans="1:12" x14ac:dyDescent="0.25">
      <c r="A98" s="11" t="s">
        <v>534</v>
      </c>
      <c r="B98" s="11" t="s">
        <v>535</v>
      </c>
      <c r="C98" s="11" t="s">
        <v>318</v>
      </c>
      <c r="D98" s="5" t="s">
        <v>19</v>
      </c>
      <c r="E98" s="11" t="s">
        <v>536</v>
      </c>
      <c r="F98" s="21" t="s">
        <v>320</v>
      </c>
      <c r="G98" s="11" t="s">
        <v>321</v>
      </c>
      <c r="H98" s="11" t="s">
        <v>322</v>
      </c>
      <c r="I98" s="11" t="s">
        <v>323</v>
      </c>
      <c r="J98" s="12" t="str">
        <f>"R"&amp;D98</f>
        <v>R0402</v>
      </c>
      <c r="K98" s="12" t="str">
        <f>"R-"&amp;D98&amp;"-"&amp;E98&amp;" "&amp;IF(F98="±0,03","A",IF(F98="±0,1","B",IF(F98="±0,25","C",IF(F98="±0,5","D",IF(F98="±1%","F",IF(F98="±2%","G",IF(F98="±5%","J",IF(F98="±10%","K",IF(F98="±20%","M","")))))))))</f>
        <v>R-0402-8K25 F</v>
      </c>
      <c r="L98" s="11" t="str">
        <f>K98</f>
        <v>R-0402-8K25 F</v>
      </c>
    </row>
    <row r="99" spans="1:12" x14ac:dyDescent="0.25">
      <c r="A99" s="11" t="s">
        <v>597</v>
      </c>
      <c r="B99" s="11" t="s">
        <v>598</v>
      </c>
      <c r="C99" s="11" t="s">
        <v>318</v>
      </c>
      <c r="D99" s="5" t="s">
        <v>19</v>
      </c>
      <c r="E99" s="11" t="s">
        <v>599</v>
      </c>
      <c r="F99" s="21" t="s">
        <v>320</v>
      </c>
      <c r="G99" s="11" t="s">
        <v>321</v>
      </c>
      <c r="H99" s="11" t="s">
        <v>322</v>
      </c>
      <c r="I99" s="11" t="s">
        <v>323</v>
      </c>
      <c r="J99" s="12" t="str">
        <f>"R"&amp;D99</f>
        <v>R0402</v>
      </c>
      <c r="K99" s="12" t="str">
        <f>"R-"&amp;D99&amp;"-"&amp;E99&amp;" "&amp;IF(F99="±0,03","A",IF(F99="±0,1","B",IF(F99="±0,25","C",IF(F99="±0,5","D",IF(F99="±1%","F",IF(F99="±2%","G",IF(F99="±5%","J",IF(F99="±10%","K",IF(F99="±20%","M","")))))))))</f>
        <v>R-0402-8K45 F</v>
      </c>
      <c r="L99" s="11" t="str">
        <f>K99</f>
        <v>R-0402-8K45 F</v>
      </c>
    </row>
    <row r="100" spans="1:12" x14ac:dyDescent="0.25">
      <c r="A100" s="11" t="s">
        <v>411</v>
      </c>
      <c r="B100" s="11" t="s">
        <v>412</v>
      </c>
      <c r="C100" s="11" t="s">
        <v>318</v>
      </c>
      <c r="D100" s="11" t="s">
        <v>19</v>
      </c>
      <c r="E100" s="11" t="s">
        <v>413</v>
      </c>
      <c r="F100" s="21" t="s">
        <v>320</v>
      </c>
      <c r="G100" s="11" t="s">
        <v>321</v>
      </c>
      <c r="H100" s="11" t="s">
        <v>322</v>
      </c>
      <c r="I100" s="11" t="s">
        <v>323</v>
      </c>
      <c r="J100" s="12" t="str">
        <f>"R"&amp;D100</f>
        <v>R0402</v>
      </c>
      <c r="K100" s="12" t="str">
        <f>"R-"&amp;D100&amp;"-"&amp;E100&amp;" "&amp;IF(F100="±0,03","A",IF(F100="±0,1","B",IF(F100="±0,25","C",IF(F100="±0,5","D",IF(F100="±1%","F",IF(F100="±2%","G",IF(F100="±5%","J",IF(F100="±10%","K",IF(F100="±20%","M","")))))))))</f>
        <v>R-0402-8K66 F</v>
      </c>
      <c r="L100" s="11" t="str">
        <f>K100</f>
        <v>R-0402-8K66 F</v>
      </c>
    </row>
    <row r="101" spans="1:12" x14ac:dyDescent="0.25">
      <c r="A101" s="11" t="s">
        <v>583</v>
      </c>
      <c r="B101" s="3" t="s">
        <v>584</v>
      </c>
      <c r="C101" s="11" t="s">
        <v>318</v>
      </c>
      <c r="D101" s="11" t="s">
        <v>19</v>
      </c>
      <c r="E101" s="11" t="s">
        <v>585</v>
      </c>
      <c r="F101" s="21" t="s">
        <v>562</v>
      </c>
      <c r="G101" s="11" t="s">
        <v>321</v>
      </c>
      <c r="H101" s="11" t="s">
        <v>322</v>
      </c>
      <c r="I101" s="11" t="s">
        <v>323</v>
      </c>
      <c r="J101" s="12" t="str">
        <f>"R"&amp;D101</f>
        <v>R0402</v>
      </c>
      <c r="K101" s="12" t="str">
        <f>"R-"&amp;D101&amp;"-"&amp;E101&amp;" "&amp;IF(F101="±0,03","A",IF(F101="±0,1","B",IF(F101="±0,25","C",IF(F101="±0,5","D",IF(F101="±1%","F",IF(F101="±2%","G",IF(F101="±5%","J",IF(F101="±10%","K",IF(F101="±20%","M","")))))))))</f>
        <v xml:space="preserve">R-0402-90K9 </v>
      </c>
      <c r="L101" s="11" t="str">
        <f>K101</f>
        <v xml:space="preserve">R-0402-90K9 </v>
      </c>
    </row>
    <row r="102" spans="1:12" x14ac:dyDescent="0.25">
      <c r="A102" s="11" t="s">
        <v>464</v>
      </c>
      <c r="B102" s="3" t="s">
        <v>465</v>
      </c>
      <c r="C102" s="11" t="s">
        <v>318</v>
      </c>
      <c r="D102" s="11" t="s">
        <v>19</v>
      </c>
      <c r="E102" s="11" t="s">
        <v>466</v>
      </c>
      <c r="F102" s="21" t="s">
        <v>320</v>
      </c>
      <c r="G102" s="11" t="s">
        <v>321</v>
      </c>
      <c r="H102" s="11" t="s">
        <v>322</v>
      </c>
      <c r="I102" s="11" t="s">
        <v>323</v>
      </c>
      <c r="J102" s="12" t="str">
        <f>"R"&amp;D102</f>
        <v>R0402</v>
      </c>
      <c r="K102" s="12" t="str">
        <f>"R-"&amp;D102&amp;"-"&amp;E102&amp;" "&amp;IF(F102="±0,03","A",IF(F102="±0,1","B",IF(F102="±0,25","C",IF(F102="±0,5","D",IF(F102="±1%","F",IF(F102="±2%","G",IF(F102="±5%","J",IF(F102="±10%","K",IF(F102="±20%","M","")))))))))</f>
        <v>R-0402-93K1 F</v>
      </c>
      <c r="L102" s="11" t="str">
        <f>K102</f>
        <v>R-0402-93K1 F</v>
      </c>
    </row>
    <row r="103" spans="1:12" x14ac:dyDescent="0.25">
      <c r="A103" s="11" t="s">
        <v>591</v>
      </c>
      <c r="B103" s="11" t="s">
        <v>592</v>
      </c>
      <c r="C103" s="11" t="s">
        <v>318</v>
      </c>
      <c r="D103" s="5" t="s">
        <v>19</v>
      </c>
      <c r="E103" s="11" t="s">
        <v>593</v>
      </c>
      <c r="F103" s="21" t="s">
        <v>320</v>
      </c>
      <c r="G103" s="11" t="s">
        <v>321</v>
      </c>
      <c r="H103" s="11" t="s">
        <v>322</v>
      </c>
      <c r="I103" s="11" t="s">
        <v>323</v>
      </c>
      <c r="J103" s="12" t="str">
        <f>"R"&amp;D103</f>
        <v>R0402</v>
      </c>
      <c r="K103" s="12" t="str">
        <f>"R-"&amp;D103&amp;"-"&amp;E103&amp;" "&amp;IF(F103="±0,03","A",IF(F103="±0,1","B",IF(F103="±0,25","C",IF(F103="±0,5","D",IF(F103="±1%","F",IF(F103="±2%","G",IF(F103="±5%","J",IF(F103="±10%","K",IF(F103="±20%","M","")))))))))</f>
        <v>R-0402-9K53 F</v>
      </c>
      <c r="L103" s="11" t="str">
        <f>K103</f>
        <v>R-0402-9K53 F</v>
      </c>
    </row>
    <row r="104" spans="1:12" x14ac:dyDescent="0.25">
      <c r="A104" s="11" t="s">
        <v>1418</v>
      </c>
      <c r="B104" s="11" t="s">
        <v>1419</v>
      </c>
      <c r="C104" s="11" t="s">
        <v>318</v>
      </c>
      <c r="D104" s="46" t="s">
        <v>129</v>
      </c>
      <c r="E104" s="11" t="s">
        <v>525</v>
      </c>
      <c r="F104" s="21" t="s">
        <v>320</v>
      </c>
      <c r="G104" s="11" t="s">
        <v>321</v>
      </c>
      <c r="H104" s="11" t="s">
        <v>322</v>
      </c>
      <c r="I104" s="11" t="s">
        <v>323</v>
      </c>
      <c r="J104" s="12" t="str">
        <f>"R"&amp;D104</f>
        <v>R0201</v>
      </c>
      <c r="K104" s="12" t="str">
        <f>"R-"&amp;D104&amp;"-"&amp;E104&amp;" "&amp;IF(F104="±0,03","A",IF(F104="±0,1","B",IF(F104="±0,25","C",IF(F104="±0,5","D",IF(F104="±1%","F",IF(F104="±2%","G",IF(F104="±5%","J",IF(F104="±10%","K",IF(F104="±20%","M","")))))))))</f>
        <v>R-0201-2K2 F</v>
      </c>
      <c r="L104" s="11" t="str">
        <f>K104</f>
        <v>R-0201-2K2 F</v>
      </c>
    </row>
    <row r="105" spans="1:12" x14ac:dyDescent="0.25">
      <c r="A105" s="36" t="s">
        <v>1430</v>
      </c>
      <c r="B105" s="36" t="s">
        <v>1431</v>
      </c>
      <c r="C105" s="11" t="s">
        <v>318</v>
      </c>
      <c r="D105" s="46" t="s">
        <v>129</v>
      </c>
      <c r="E105" s="36" t="s">
        <v>1432</v>
      </c>
      <c r="F105" s="21" t="s">
        <v>320</v>
      </c>
      <c r="G105" s="11" t="s">
        <v>321</v>
      </c>
      <c r="H105" s="11" t="s">
        <v>322</v>
      </c>
      <c r="I105" s="11" t="s">
        <v>323</v>
      </c>
      <c r="J105" s="12" t="str">
        <f>"R"&amp;D105</f>
        <v>R0201</v>
      </c>
      <c r="K105" s="12" t="str">
        <f>"R-"&amp;D105&amp;"-"&amp;E105&amp;" "&amp;IF(F105="±0,03","A",IF(F105="±0,1","B",IF(F105="±0,25","C",IF(F105="±0,5","D",IF(F105="±1%","F",IF(F105="±2%","G",IF(F105="±5%","J",IF(F105="±10%","K",IF(F105="±20%","M","")))))))))</f>
        <v>R-0201-26K4 F</v>
      </c>
      <c r="L105" s="11" t="str">
        <f>K105</f>
        <v>R-0201-26K4 F</v>
      </c>
    </row>
    <row r="106" spans="1:12" x14ac:dyDescent="0.25">
      <c r="A106" s="36" t="s">
        <v>1433</v>
      </c>
      <c r="B106" s="36" t="s">
        <v>1434</v>
      </c>
      <c r="C106" s="11" t="s">
        <v>318</v>
      </c>
      <c r="D106" s="46" t="s">
        <v>129</v>
      </c>
      <c r="E106" s="36" t="s">
        <v>1435</v>
      </c>
      <c r="F106" s="21" t="s">
        <v>320</v>
      </c>
      <c r="G106" s="11" t="s">
        <v>321</v>
      </c>
      <c r="H106" s="11" t="s">
        <v>322</v>
      </c>
      <c r="I106" s="11" t="s">
        <v>323</v>
      </c>
      <c r="J106" s="12" t="str">
        <f>"R"&amp;D106</f>
        <v>R0201</v>
      </c>
      <c r="K106" s="12" t="str">
        <f>"R-"&amp;D106&amp;"-"&amp;E106&amp;" "&amp;IF(F106="±0,03","A",IF(F106="±0,1","B",IF(F106="±0,25","C",IF(F106="±0,5","D",IF(F106="±1%","F",IF(F106="±2%","G",IF(F106="±5%","J",IF(F106="±10%","K",IF(F106="±20%","M","")))))))))</f>
        <v>R-0201-16K F</v>
      </c>
      <c r="L106" s="11" t="str">
        <f>K106</f>
        <v>R-0201-16K F</v>
      </c>
    </row>
    <row r="107" spans="1:12" x14ac:dyDescent="0.25">
      <c r="A107" s="36" t="s">
        <v>1436</v>
      </c>
      <c r="B107" s="36" t="s">
        <v>1437</v>
      </c>
      <c r="C107" s="11" t="s">
        <v>318</v>
      </c>
      <c r="D107" s="46" t="s">
        <v>129</v>
      </c>
      <c r="E107" s="36" t="s">
        <v>1438</v>
      </c>
      <c r="F107" s="21" t="s">
        <v>320</v>
      </c>
      <c r="G107" s="11" t="s">
        <v>321</v>
      </c>
      <c r="H107" s="11" t="s">
        <v>322</v>
      </c>
      <c r="I107" s="11" t="s">
        <v>323</v>
      </c>
      <c r="J107" s="12" t="str">
        <f>"R"&amp;D107</f>
        <v>R0201</v>
      </c>
      <c r="K107" s="12" t="str">
        <f>"R-"&amp;D107&amp;"-"&amp;E107&amp;" "&amp;IF(F107="±0,03","A",IF(F107="±0,1","B",IF(F107="±0,25","C",IF(F107="±0,5","D",IF(F107="±1%","F",IF(F107="±2%","G",IF(F107="±5%","J",IF(F107="±10%","K",IF(F107="±20%","M","")))))))))</f>
        <v>R-0201-13K F</v>
      </c>
      <c r="L107" s="11" t="str">
        <f>K107</f>
        <v>R-0201-13K F</v>
      </c>
    </row>
    <row r="108" spans="1:12" s="11" customFormat="1" x14ac:dyDescent="0.25">
      <c r="A108" s="11" t="s">
        <v>1445</v>
      </c>
      <c r="B108" s="11" t="s">
        <v>1446</v>
      </c>
      <c r="C108" s="11" t="s">
        <v>1447</v>
      </c>
      <c r="D108" s="36" t="s">
        <v>90</v>
      </c>
      <c r="E108" s="36" t="s">
        <v>1448</v>
      </c>
      <c r="F108" s="21" t="s">
        <v>320</v>
      </c>
      <c r="G108" s="11" t="s">
        <v>321</v>
      </c>
      <c r="H108" s="11" t="s">
        <v>322</v>
      </c>
      <c r="I108" s="11" t="s">
        <v>323</v>
      </c>
      <c r="J108" s="12" t="s">
        <v>1460</v>
      </c>
      <c r="K108" s="12" t="str">
        <f>"R-"&amp;D108&amp;"-"&amp;E108&amp;" "&amp;IF(F108="±0,03","A",IF(F108="±0,1","B",IF(F108="±0,25","C",IF(F108="±0,5","D",IF(F108="±1%","F",IF(F108="±2%","G",IF(F108="±5%","J",IF(F108="±10%","K",IF(F108="±20%","M","")))))))))</f>
        <v>R-0603-0R025 F</v>
      </c>
      <c r="L108" s="11" t="str">
        <f>K108</f>
        <v>R-0603-0R025 F</v>
      </c>
    </row>
  </sheetData>
  <conditionalFormatting sqref="J2:J108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showGridLines="0" workbookViewId="0"/>
  </sheetViews>
  <sheetFormatPr defaultColWidth="11.125" defaultRowHeight="15.75" x14ac:dyDescent="0.25"/>
  <cols>
    <col min="1" max="1" width="24" style="11" customWidth="1"/>
    <col min="2" max="2" width="67.75" style="11" customWidth="1"/>
    <col min="3" max="3" width="30" style="11" customWidth="1"/>
    <col min="4" max="4" width="9.5" style="11" customWidth="1"/>
    <col min="5" max="5" width="7.375" style="11" customWidth="1"/>
    <col min="6" max="6" width="28.125" style="11" customWidth="1"/>
    <col min="7" max="7" width="17.25" style="11" customWidth="1"/>
    <col min="8" max="8" width="24" style="11" customWidth="1"/>
    <col min="9" max="9" width="11.5" style="11" customWidth="1"/>
    <col min="10" max="10" width="31.5" style="11" customWidth="1"/>
    <col min="11" max="11" width="13.25" style="11" customWidth="1"/>
    <col min="12" max="12" width="21.875" style="11" customWidth="1"/>
    <col min="13" max="13" width="24.25" style="11" customWidth="1"/>
    <col min="14" max="16384" width="11.125" style="1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153</v>
      </c>
      <c r="G1" s="11" t="s">
        <v>605</v>
      </c>
      <c r="H1" s="11" t="s">
        <v>9</v>
      </c>
      <c r="I1" s="11" t="s">
        <v>10</v>
      </c>
      <c r="J1" s="11" t="s">
        <v>156</v>
      </c>
      <c r="K1" s="11" t="s">
        <v>157</v>
      </c>
      <c r="L1" s="20" t="s">
        <v>15</v>
      </c>
      <c r="M1" s="20" t="s">
        <v>158</v>
      </c>
    </row>
    <row r="2" spans="1:13" ht="20.100000000000001" customHeight="1" x14ac:dyDescent="0.25">
      <c r="A2" s="11" t="s">
        <v>606</v>
      </c>
      <c r="B2" s="3" t="s">
        <v>607</v>
      </c>
      <c r="C2" s="11" t="s">
        <v>608</v>
      </c>
      <c r="D2" s="11" t="s">
        <v>60</v>
      </c>
      <c r="E2" s="11" t="s">
        <v>609</v>
      </c>
      <c r="F2" t="s">
        <v>610</v>
      </c>
      <c r="G2" s="11" t="s">
        <v>611</v>
      </c>
      <c r="H2" s="2" t="s">
        <v>612</v>
      </c>
      <c r="I2" s="11" t="s">
        <v>613</v>
      </c>
      <c r="J2" s="11" t="s">
        <v>614</v>
      </c>
      <c r="K2" s="11" t="s">
        <v>615</v>
      </c>
      <c r="L2" s="12" t="str">
        <f t="shared" ref="L2:L14" si="0">IF(I2="IND","L-",IF(I2="Ferrite","F-",""))&amp;A2</f>
        <v>L-0805LS-471XJEC</v>
      </c>
      <c r="M2" s="12" t="str">
        <f t="shared" ref="M2:M14" si="1">L2</f>
        <v>L-0805LS-471XJEC</v>
      </c>
    </row>
    <row r="3" spans="1:13" ht="20.100000000000001" customHeight="1" x14ac:dyDescent="0.25">
      <c r="A3" s="2" t="s">
        <v>616</v>
      </c>
      <c r="B3" s="3" t="s">
        <v>617</v>
      </c>
      <c r="C3" s="11" t="s">
        <v>608</v>
      </c>
      <c r="D3" s="11" t="s">
        <v>19</v>
      </c>
      <c r="E3" s="11" t="s">
        <v>618</v>
      </c>
      <c r="F3" t="s">
        <v>610</v>
      </c>
      <c r="G3" s="11" t="s">
        <v>619</v>
      </c>
      <c r="H3" s="2" t="s">
        <v>612</v>
      </c>
      <c r="I3" s="11" t="s">
        <v>613</v>
      </c>
      <c r="J3" s="11" t="s">
        <v>614</v>
      </c>
      <c r="K3" s="11" t="s">
        <v>620</v>
      </c>
      <c r="L3" s="12" t="str">
        <f t="shared" si="0"/>
        <v>L-0402FL-181XJRW</v>
      </c>
      <c r="M3" s="12" t="str">
        <f t="shared" si="1"/>
        <v>L-0402FL-181XJRW</v>
      </c>
    </row>
    <row r="4" spans="1:13" ht="20.100000000000001" customHeight="1" x14ac:dyDescent="0.25">
      <c r="A4" s="2" t="s">
        <v>621</v>
      </c>
      <c r="B4" s="3" t="s">
        <v>622</v>
      </c>
      <c r="C4" s="11" t="s">
        <v>608</v>
      </c>
      <c r="D4" s="11" t="s">
        <v>19</v>
      </c>
      <c r="E4" s="11" t="s">
        <v>623</v>
      </c>
      <c r="F4" t="s">
        <v>610</v>
      </c>
      <c r="G4" s="11" t="s">
        <v>624</v>
      </c>
      <c r="H4" s="2" t="s">
        <v>612</v>
      </c>
      <c r="I4" s="11" t="s">
        <v>613</v>
      </c>
      <c r="J4" s="11" t="s">
        <v>614</v>
      </c>
      <c r="K4" s="11" t="s">
        <v>620</v>
      </c>
      <c r="L4" s="12" t="str">
        <f t="shared" si="0"/>
        <v>L-0402FL-360XJRW</v>
      </c>
      <c r="M4" s="12" t="str">
        <f t="shared" si="1"/>
        <v>L-0402FL-360XJRW</v>
      </c>
    </row>
    <row r="5" spans="1:13" ht="20.100000000000001" customHeight="1" x14ac:dyDescent="0.25">
      <c r="A5" s="2" t="s">
        <v>625</v>
      </c>
      <c r="B5" s="3" t="s">
        <v>626</v>
      </c>
      <c r="C5" s="11" t="s">
        <v>608</v>
      </c>
      <c r="D5" s="11" t="s">
        <v>19</v>
      </c>
      <c r="E5" s="11" t="s">
        <v>627</v>
      </c>
      <c r="F5" t="s">
        <v>610</v>
      </c>
      <c r="G5" s="11" t="s">
        <v>624</v>
      </c>
      <c r="H5" s="2" t="s">
        <v>612</v>
      </c>
      <c r="I5" s="11" t="s">
        <v>613</v>
      </c>
      <c r="J5" s="11" t="s">
        <v>614</v>
      </c>
      <c r="K5" s="11" t="s">
        <v>620</v>
      </c>
      <c r="L5" s="12" t="str">
        <f t="shared" si="0"/>
        <v>L-0402FL-200XJRW</v>
      </c>
      <c r="M5" s="12" t="str">
        <f t="shared" si="1"/>
        <v>L-0402FL-200XJRW</v>
      </c>
    </row>
    <row r="6" spans="1:13" ht="20.100000000000001" customHeight="1" x14ac:dyDescent="0.25">
      <c r="A6" s="11" t="s">
        <v>628</v>
      </c>
      <c r="B6" s="3" t="s">
        <v>629</v>
      </c>
      <c r="C6" s="11" t="s">
        <v>630</v>
      </c>
      <c r="D6" s="11" t="s">
        <v>90</v>
      </c>
      <c r="E6" s="11" t="s">
        <v>631</v>
      </c>
      <c r="F6" t="s">
        <v>610</v>
      </c>
      <c r="G6" s="11" t="s">
        <v>632</v>
      </c>
      <c r="H6" s="2" t="s">
        <v>612</v>
      </c>
      <c r="I6" s="11" t="s">
        <v>613</v>
      </c>
      <c r="J6" s="11" t="s">
        <v>614</v>
      </c>
      <c r="K6" s="11" t="s">
        <v>633</v>
      </c>
      <c r="L6" s="12" t="str">
        <f t="shared" si="0"/>
        <v>L-LQW18AN10NG00</v>
      </c>
      <c r="M6" s="12" t="str">
        <f t="shared" si="1"/>
        <v>L-LQW18AN10NG00</v>
      </c>
    </row>
    <row r="7" spans="1:13" x14ac:dyDescent="0.25">
      <c r="A7" s="2" t="s">
        <v>634</v>
      </c>
      <c r="B7" s="3" t="s">
        <v>635</v>
      </c>
      <c r="C7" s="11" t="s">
        <v>608</v>
      </c>
      <c r="D7" s="11" t="s">
        <v>19</v>
      </c>
      <c r="E7" s="11" t="s">
        <v>636</v>
      </c>
      <c r="F7" t="s">
        <v>610</v>
      </c>
      <c r="G7" s="29" t="s">
        <v>637</v>
      </c>
      <c r="H7" s="2" t="s">
        <v>612</v>
      </c>
      <c r="I7" s="11" t="s">
        <v>613</v>
      </c>
      <c r="J7" s="11" t="s">
        <v>614</v>
      </c>
      <c r="K7" s="11" t="s">
        <v>638</v>
      </c>
      <c r="L7" s="12" t="str">
        <f t="shared" si="0"/>
        <v>L-0402CS-39NXGLW</v>
      </c>
      <c r="M7" s="12" t="str">
        <f t="shared" si="1"/>
        <v>L-0402CS-39NXGLW</v>
      </c>
    </row>
    <row r="8" spans="1:13" x14ac:dyDescent="0.25">
      <c r="A8" s="2" t="s">
        <v>639</v>
      </c>
      <c r="B8" s="3" t="s">
        <v>640</v>
      </c>
      <c r="C8" s="11" t="s">
        <v>630</v>
      </c>
      <c r="D8" s="11" t="s">
        <v>90</v>
      </c>
      <c r="E8" s="11" t="s">
        <v>641</v>
      </c>
      <c r="F8" t="s">
        <v>610</v>
      </c>
      <c r="G8" s="11" t="s">
        <v>642</v>
      </c>
      <c r="H8" s="2" t="s">
        <v>612</v>
      </c>
      <c r="I8" s="11" t="s">
        <v>613</v>
      </c>
      <c r="J8" s="11" t="s">
        <v>614</v>
      </c>
      <c r="K8" s="11" t="s">
        <v>633</v>
      </c>
      <c r="L8" s="12" t="str">
        <f t="shared" si="0"/>
        <v>L-LQW18AN18NG00D</v>
      </c>
      <c r="M8" s="12" t="str">
        <f t="shared" si="1"/>
        <v>L-LQW18AN18NG00D</v>
      </c>
    </row>
    <row r="9" spans="1:13" x14ac:dyDescent="0.25">
      <c r="A9" s="11" t="s">
        <v>643</v>
      </c>
      <c r="B9" s="11" t="s">
        <v>644</v>
      </c>
      <c r="C9" s="11" t="s">
        <v>630</v>
      </c>
      <c r="D9" s="11" t="s">
        <v>19</v>
      </c>
      <c r="E9" s="11" t="s">
        <v>641</v>
      </c>
      <c r="F9" t="s">
        <v>610</v>
      </c>
      <c r="G9" s="11" t="s">
        <v>645</v>
      </c>
      <c r="H9" s="2" t="s">
        <v>612</v>
      </c>
      <c r="I9" s="11" t="s">
        <v>613</v>
      </c>
      <c r="J9" s="11" t="s">
        <v>614</v>
      </c>
      <c r="K9" s="11" t="s">
        <v>646</v>
      </c>
      <c r="L9" s="12" t="str">
        <f t="shared" si="0"/>
        <v>L-LQW15AN18NG00D</v>
      </c>
      <c r="M9" s="12" t="str">
        <f t="shared" si="1"/>
        <v>L-LQW15AN18NG00D</v>
      </c>
    </row>
    <row r="10" spans="1:13" x14ac:dyDescent="0.25">
      <c r="A10" s="11" t="s">
        <v>647</v>
      </c>
      <c r="B10" s="11" t="s">
        <v>648</v>
      </c>
      <c r="C10" s="11" t="s">
        <v>608</v>
      </c>
      <c r="D10" s="11" t="s">
        <v>60</v>
      </c>
      <c r="E10" s="11" t="s">
        <v>649</v>
      </c>
      <c r="F10" t="s">
        <v>610</v>
      </c>
      <c r="G10" s="11" t="s">
        <v>650</v>
      </c>
      <c r="H10" s="2" t="s">
        <v>612</v>
      </c>
      <c r="I10" s="11" t="s">
        <v>613</v>
      </c>
      <c r="J10" s="11" t="s">
        <v>614</v>
      </c>
      <c r="K10" s="11" t="s">
        <v>651</v>
      </c>
      <c r="L10" s="12" t="str">
        <f t="shared" si="0"/>
        <v>L-0805CS-030XJRC</v>
      </c>
      <c r="M10" s="12" t="str">
        <f t="shared" si="1"/>
        <v>L-0805CS-030XJRC</v>
      </c>
    </row>
    <row r="11" spans="1:13" x14ac:dyDescent="0.25">
      <c r="A11" s="11" t="s">
        <v>652</v>
      </c>
      <c r="B11" s="11" t="s">
        <v>653</v>
      </c>
      <c r="C11" s="11" t="s">
        <v>630</v>
      </c>
      <c r="D11" s="11" t="s">
        <v>129</v>
      </c>
      <c r="E11" s="11" t="s">
        <v>654</v>
      </c>
      <c r="F11" t="s">
        <v>610</v>
      </c>
      <c r="G11" s="11" t="s">
        <v>655</v>
      </c>
      <c r="H11" s="2" t="s">
        <v>612</v>
      </c>
      <c r="I11" s="11" t="s">
        <v>613</v>
      </c>
      <c r="J11" s="11" t="s">
        <v>614</v>
      </c>
      <c r="K11" s="11" t="s">
        <v>656</v>
      </c>
      <c r="L11" s="12" t="str">
        <f t="shared" si="0"/>
        <v>L-LQP03HQ1N5C02D</v>
      </c>
      <c r="M11" s="12" t="str">
        <f t="shared" si="1"/>
        <v>L-LQP03HQ1N5C02D</v>
      </c>
    </row>
    <row r="12" spans="1:13" x14ac:dyDescent="0.25">
      <c r="A12" s="11" t="s">
        <v>657</v>
      </c>
      <c r="B12" s="11" t="s">
        <v>658</v>
      </c>
      <c r="C12" s="11" t="s">
        <v>630</v>
      </c>
      <c r="D12" s="11" t="s">
        <v>129</v>
      </c>
      <c r="E12" s="11" t="s">
        <v>659</v>
      </c>
      <c r="F12" t="s">
        <v>610</v>
      </c>
      <c r="G12" s="11" t="s">
        <v>660</v>
      </c>
      <c r="H12" s="2" t="s">
        <v>612</v>
      </c>
      <c r="I12" s="11" t="s">
        <v>613</v>
      </c>
      <c r="J12" s="11" t="s">
        <v>614</v>
      </c>
      <c r="K12" s="11" t="s">
        <v>656</v>
      </c>
      <c r="L12" s="12" t="str">
        <f t="shared" si="0"/>
        <v>L-LQP03TN0N7C02J</v>
      </c>
      <c r="M12" s="12" t="str">
        <f t="shared" si="1"/>
        <v>L-LQP03TN0N7C02J</v>
      </c>
    </row>
    <row r="13" spans="1:13" x14ac:dyDescent="0.25">
      <c r="A13" s="11" t="s">
        <v>661</v>
      </c>
      <c r="B13" s="11" t="s">
        <v>662</v>
      </c>
      <c r="C13" s="11" t="s">
        <v>630</v>
      </c>
      <c r="D13" s="11" t="s">
        <v>19</v>
      </c>
      <c r="E13" s="11" t="s">
        <v>663</v>
      </c>
      <c r="F13" t="s">
        <v>610</v>
      </c>
      <c r="G13" s="11" t="s">
        <v>645</v>
      </c>
      <c r="H13" s="2" t="s">
        <v>612</v>
      </c>
      <c r="I13" s="11" t="s">
        <v>613</v>
      </c>
      <c r="J13" s="11" t="s">
        <v>614</v>
      </c>
      <c r="K13" s="11" t="s">
        <v>646</v>
      </c>
      <c r="L13" s="12" t="str">
        <f t="shared" si="0"/>
        <v>L-LQW15AN43NJ00D</v>
      </c>
      <c r="M13" s="12" t="str">
        <f t="shared" si="1"/>
        <v>L-LQW15AN43NJ00D</v>
      </c>
    </row>
    <row r="14" spans="1:13" x14ac:dyDescent="0.25">
      <c r="A14" s="11" t="s">
        <v>664</v>
      </c>
      <c r="B14" s="11" t="s">
        <v>665</v>
      </c>
      <c r="C14" s="11" t="s">
        <v>630</v>
      </c>
      <c r="D14" s="11" t="s">
        <v>19</v>
      </c>
      <c r="E14" s="11" t="s">
        <v>618</v>
      </c>
      <c r="F14" t="s">
        <v>610</v>
      </c>
      <c r="G14" s="11" t="s">
        <v>666</v>
      </c>
      <c r="H14" s="2" t="s">
        <v>612</v>
      </c>
      <c r="I14" s="11" t="s">
        <v>613</v>
      </c>
      <c r="J14" s="11" t="s">
        <v>614</v>
      </c>
      <c r="K14" s="11" t="s">
        <v>646</v>
      </c>
      <c r="L14" s="12" t="str">
        <f t="shared" si="0"/>
        <v>L-LQW15AWR18G80D</v>
      </c>
      <c r="M14" s="12" t="str">
        <f t="shared" si="1"/>
        <v>L-LQW15AWR18G80D</v>
      </c>
    </row>
    <row r="15" spans="1:13" x14ac:dyDescent="0.25">
      <c r="A15" s="11" t="s">
        <v>667</v>
      </c>
      <c r="B15" s="11" t="s">
        <v>668</v>
      </c>
      <c r="C15" s="11" t="s">
        <v>630</v>
      </c>
      <c r="D15" s="11" t="s">
        <v>19</v>
      </c>
      <c r="E15" s="11" t="s">
        <v>669</v>
      </c>
      <c r="F15" t="s">
        <v>610</v>
      </c>
      <c r="G15" s="11" t="s">
        <v>670</v>
      </c>
      <c r="H15" s="2" t="s">
        <v>612</v>
      </c>
      <c r="I15" s="11" t="s">
        <v>613</v>
      </c>
      <c r="J15" s="11" t="s">
        <v>614</v>
      </c>
      <c r="K15" s="11" t="s">
        <v>646</v>
      </c>
      <c r="L15" s="12" t="str">
        <f t="shared" ref="L15:L16" si="2">IF(I15="IND","L-",IF(I15="Ferrite","F-",""))&amp;A15</f>
        <v>L-LQW15AN62NJ00D</v>
      </c>
      <c r="M15" s="12" t="str">
        <f t="shared" ref="M15:M16" si="3">L15</f>
        <v>L-LQW15AN62NJ00D</v>
      </c>
    </row>
    <row r="16" spans="1:13" x14ac:dyDescent="0.25">
      <c r="A16" s="11" t="s">
        <v>671</v>
      </c>
      <c r="B16" s="11" t="s">
        <v>672</v>
      </c>
      <c r="C16" s="11" t="s">
        <v>630</v>
      </c>
      <c r="D16" s="11" t="s">
        <v>19</v>
      </c>
      <c r="E16" s="11" t="s">
        <v>618</v>
      </c>
      <c r="F16" t="s">
        <v>610</v>
      </c>
      <c r="G16" s="11" t="s">
        <v>666</v>
      </c>
      <c r="H16" s="2" t="s">
        <v>612</v>
      </c>
      <c r="I16" s="11" t="s">
        <v>613</v>
      </c>
      <c r="J16" s="11" t="s">
        <v>614</v>
      </c>
      <c r="K16" s="11" t="s">
        <v>646</v>
      </c>
      <c r="L16" s="12" t="str">
        <f t="shared" si="2"/>
        <v>L-LQW15CNR20J0ZD</v>
      </c>
      <c r="M16" s="12" t="str">
        <f t="shared" si="3"/>
        <v>L-LQW15CNR20J0ZD</v>
      </c>
    </row>
  </sheetData>
  <conditionalFormatting sqref="K2:K16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showGridLines="0" topLeftCell="B1" workbookViewId="0">
      <selection activeCell="I14" sqref="I14"/>
    </sheetView>
  </sheetViews>
  <sheetFormatPr defaultRowHeight="15.75" x14ac:dyDescent="0.25"/>
  <cols>
    <col min="1" max="1" width="20" style="2" customWidth="1"/>
    <col min="2" max="2" width="73" style="2" customWidth="1"/>
    <col min="3" max="3" width="32.875" style="2" customWidth="1"/>
    <col min="4" max="4" width="13.75" style="2" customWidth="1"/>
    <col min="5" max="5" width="12.75" style="2" customWidth="1"/>
    <col min="6" max="7" width="24.5" style="2" customWidth="1"/>
    <col min="8" max="9" width="26.25" style="2" customWidth="1"/>
    <col min="10" max="11" width="21.625" style="2" customWidth="1"/>
    <col min="12" max="16384" width="9" style="2"/>
  </cols>
  <sheetData>
    <row r="1" spans="1:11" s="1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9</v>
      </c>
      <c r="G1" s="11" t="s">
        <v>10</v>
      </c>
      <c r="H1" s="11" t="s">
        <v>156</v>
      </c>
      <c r="I1" s="11" t="s">
        <v>157</v>
      </c>
      <c r="J1" s="20" t="s">
        <v>15</v>
      </c>
      <c r="K1" s="20" t="s">
        <v>158</v>
      </c>
    </row>
    <row r="2" spans="1:11" s="11" customFormat="1" ht="20.100000000000001" customHeight="1" x14ac:dyDescent="0.25">
      <c r="A2" s="11" t="s">
        <v>673</v>
      </c>
      <c r="B2" s="13" t="s">
        <v>674</v>
      </c>
      <c r="C2" s="3" t="s">
        <v>675</v>
      </c>
      <c r="D2" s="11" t="s">
        <v>676</v>
      </c>
      <c r="E2" s="3" t="s">
        <v>677</v>
      </c>
      <c r="F2" s="2" t="s">
        <v>612</v>
      </c>
      <c r="G2" s="11" t="s">
        <v>613</v>
      </c>
      <c r="H2" s="11" t="s">
        <v>614</v>
      </c>
      <c r="I2" s="11" t="s">
        <v>678</v>
      </c>
      <c r="J2" s="12" t="str">
        <f t="shared" ref="J2:J14" si="0">IF(G2="IND","L-",IF(G2="Ferrite","F-",""))&amp;A2</f>
        <v>L-74477020</v>
      </c>
      <c r="K2" s="12" t="str">
        <f t="shared" ref="K2:K14" si="1">J2</f>
        <v>L-74477020</v>
      </c>
    </row>
    <row r="3" spans="1:11" s="11" customFormat="1" ht="20.100000000000001" customHeight="1" x14ac:dyDescent="0.25">
      <c r="A3" s="11" t="s">
        <v>679</v>
      </c>
      <c r="B3" s="3" t="s">
        <v>680</v>
      </c>
      <c r="C3" s="3" t="s">
        <v>681</v>
      </c>
      <c r="D3" s="11" t="s">
        <v>682</v>
      </c>
      <c r="E3" s="3" t="s">
        <v>683</v>
      </c>
      <c r="F3" s="2" t="s">
        <v>612</v>
      </c>
      <c r="G3" s="11" t="s">
        <v>613</v>
      </c>
      <c r="H3" s="11" t="s">
        <v>614</v>
      </c>
      <c r="I3" s="11" t="s">
        <v>684</v>
      </c>
      <c r="J3" s="12" t="str">
        <f t="shared" si="0"/>
        <v>L-IHLP2525CZER100M5A</v>
      </c>
      <c r="K3" s="12" t="str">
        <f t="shared" si="1"/>
        <v>L-IHLP2525CZER100M5A</v>
      </c>
    </row>
    <row r="4" spans="1:11" s="11" customFormat="1" ht="20.100000000000001" customHeight="1" x14ac:dyDescent="0.25">
      <c r="A4" s="11" t="s">
        <v>685</v>
      </c>
      <c r="B4" s="13" t="s">
        <v>686</v>
      </c>
      <c r="C4" s="11" t="s">
        <v>687</v>
      </c>
      <c r="D4" s="11" t="s">
        <v>688</v>
      </c>
      <c r="E4" s="11" t="s">
        <v>689</v>
      </c>
      <c r="F4" s="2" t="s">
        <v>612</v>
      </c>
      <c r="G4" s="11" t="s">
        <v>613</v>
      </c>
      <c r="H4" s="11" t="s">
        <v>614</v>
      </c>
      <c r="J4" s="12" t="str">
        <f t="shared" si="0"/>
        <v>L-PA5001.102NLT</v>
      </c>
      <c r="K4" s="12" t="str">
        <f t="shared" si="1"/>
        <v>L-PA5001.102NLT</v>
      </c>
    </row>
    <row r="5" spans="1:11" s="11" customFormat="1" ht="20.100000000000001" customHeight="1" x14ac:dyDescent="0.25">
      <c r="A5" s="2" t="s">
        <v>690</v>
      </c>
      <c r="B5" s="2" t="s">
        <v>691</v>
      </c>
      <c r="C5" s="11" t="s">
        <v>692</v>
      </c>
      <c r="D5" s="11" t="s">
        <v>693</v>
      </c>
      <c r="E5" s="11" t="s">
        <v>694</v>
      </c>
      <c r="F5" s="2" t="s">
        <v>612</v>
      </c>
      <c r="G5" s="11" t="s">
        <v>613</v>
      </c>
      <c r="H5" s="11" t="s">
        <v>614</v>
      </c>
      <c r="J5" s="12" t="str">
        <f t="shared" si="0"/>
        <v>L-0618CDMCCDS-1R5MC</v>
      </c>
      <c r="K5" s="12" t="str">
        <f t="shared" si="1"/>
        <v>L-0618CDMCCDS-1R5MC</v>
      </c>
    </row>
    <row r="6" spans="1:11" s="11" customFormat="1" ht="20.100000000000001" customHeight="1" x14ac:dyDescent="0.25">
      <c r="A6" s="11" t="s">
        <v>695</v>
      </c>
      <c r="B6" s="23" t="s">
        <v>696</v>
      </c>
      <c r="C6" s="11" t="s">
        <v>675</v>
      </c>
      <c r="D6" s="11" t="s">
        <v>697</v>
      </c>
      <c r="E6" s="11" t="s">
        <v>698</v>
      </c>
      <c r="F6" s="2" t="s">
        <v>612</v>
      </c>
      <c r="G6" s="11" t="s">
        <v>613</v>
      </c>
      <c r="H6" s="11" t="s">
        <v>614</v>
      </c>
      <c r="I6" s="11" t="s">
        <v>699</v>
      </c>
      <c r="J6" s="12" t="str">
        <f t="shared" si="0"/>
        <v>L-744314047</v>
      </c>
      <c r="K6" s="12" t="str">
        <f t="shared" si="1"/>
        <v>L-744314047</v>
      </c>
    </row>
    <row r="7" spans="1:11" x14ac:dyDescent="0.25">
      <c r="A7" s="2">
        <v>74439324015</v>
      </c>
      <c r="B7" s="2" t="s">
        <v>709</v>
      </c>
      <c r="C7" s="11" t="s">
        <v>675</v>
      </c>
      <c r="D7" s="2">
        <v>4030</v>
      </c>
      <c r="E7" s="11" t="s">
        <v>710</v>
      </c>
      <c r="F7" s="2" t="s">
        <v>612</v>
      </c>
      <c r="G7" s="11" t="s">
        <v>613</v>
      </c>
      <c r="H7" s="11" t="s">
        <v>614</v>
      </c>
      <c r="I7" s="2" t="s">
        <v>711</v>
      </c>
      <c r="J7" s="12" t="str">
        <f t="shared" si="0"/>
        <v>L-74439324015</v>
      </c>
      <c r="K7" s="12" t="str">
        <f t="shared" si="1"/>
        <v>L-74439324015</v>
      </c>
    </row>
    <row r="8" spans="1:11" x14ac:dyDescent="0.25">
      <c r="A8" s="2" t="s">
        <v>712</v>
      </c>
      <c r="B8" s="3" t="s">
        <v>713</v>
      </c>
      <c r="C8" s="3" t="s">
        <v>681</v>
      </c>
      <c r="D8" s="11" t="s">
        <v>682</v>
      </c>
      <c r="E8" s="3" t="s">
        <v>714</v>
      </c>
      <c r="F8" s="2" t="s">
        <v>612</v>
      </c>
      <c r="G8" s="11" t="s">
        <v>613</v>
      </c>
      <c r="H8" s="11" t="s">
        <v>614</v>
      </c>
      <c r="I8" s="11" t="s">
        <v>684</v>
      </c>
      <c r="J8" s="12" t="str">
        <f t="shared" si="0"/>
        <v>L-IHLP2525CZER2R2M01</v>
      </c>
      <c r="K8" s="12" t="str">
        <f t="shared" si="1"/>
        <v>L-IHLP2525CZER2R2M01</v>
      </c>
    </row>
    <row r="9" spans="1:11" x14ac:dyDescent="0.25">
      <c r="A9" s="2" t="s">
        <v>715</v>
      </c>
      <c r="B9" s="3" t="s">
        <v>716</v>
      </c>
      <c r="C9" s="3" t="s">
        <v>681</v>
      </c>
      <c r="D9" s="11" t="s">
        <v>682</v>
      </c>
      <c r="E9" s="3" t="s">
        <v>717</v>
      </c>
      <c r="F9" s="2" t="s">
        <v>612</v>
      </c>
      <c r="G9" s="11" t="s">
        <v>613</v>
      </c>
      <c r="H9" s="11" t="s">
        <v>614</v>
      </c>
      <c r="I9" s="11" t="s">
        <v>684</v>
      </c>
      <c r="J9" s="12" t="str">
        <f t="shared" si="0"/>
        <v>L-IHLP2525CZER4R7M01</v>
      </c>
      <c r="K9" s="12" t="str">
        <f t="shared" si="1"/>
        <v>L-IHLP2525CZER4R7M01</v>
      </c>
    </row>
    <row r="10" spans="1:11" x14ac:dyDescent="0.25">
      <c r="A10" s="2" t="s">
        <v>718</v>
      </c>
      <c r="B10" s="3" t="s">
        <v>719</v>
      </c>
      <c r="C10" s="3" t="s">
        <v>681</v>
      </c>
      <c r="D10" s="11" t="s">
        <v>682</v>
      </c>
      <c r="E10" s="3" t="s">
        <v>720</v>
      </c>
      <c r="F10" s="2" t="s">
        <v>612</v>
      </c>
      <c r="G10" s="11" t="s">
        <v>613</v>
      </c>
      <c r="H10" s="11" t="s">
        <v>614</v>
      </c>
      <c r="I10" s="11" t="s">
        <v>684</v>
      </c>
      <c r="J10" s="12" t="str">
        <f t="shared" si="0"/>
        <v>L-IHLP2525CZER1R0M01</v>
      </c>
      <c r="K10" s="12" t="str">
        <f t="shared" si="1"/>
        <v>L-IHLP2525CZER1R0M01</v>
      </c>
    </row>
    <row r="11" spans="1:11" x14ac:dyDescent="0.25">
      <c r="A11" s="2" t="s">
        <v>1337</v>
      </c>
      <c r="B11" s="2" t="s">
        <v>721</v>
      </c>
      <c r="C11" s="3" t="s">
        <v>675</v>
      </c>
      <c r="D11" s="5" t="s">
        <v>60</v>
      </c>
      <c r="E11" s="2" t="s">
        <v>722</v>
      </c>
      <c r="F11" s="2" t="s">
        <v>612</v>
      </c>
      <c r="G11" s="11" t="s">
        <v>702</v>
      </c>
      <c r="H11" s="11" t="s">
        <v>614</v>
      </c>
      <c r="I11" s="2" t="s">
        <v>1416</v>
      </c>
      <c r="J11" s="12" t="str">
        <f t="shared" si="0"/>
        <v>F-742792040</v>
      </c>
      <c r="K11" s="12" t="str">
        <f t="shared" si="1"/>
        <v>F-742792040</v>
      </c>
    </row>
    <row r="12" spans="1:11" x14ac:dyDescent="0.25">
      <c r="A12" s="37" t="s">
        <v>1378</v>
      </c>
      <c r="B12" s="2" t="s">
        <v>1379</v>
      </c>
      <c r="C12" s="37" t="s">
        <v>1380</v>
      </c>
      <c r="D12" s="2">
        <v>1210</v>
      </c>
      <c r="E12" s="11" t="s">
        <v>689</v>
      </c>
      <c r="F12" s="5" t="s">
        <v>612</v>
      </c>
      <c r="G12" s="11" t="s">
        <v>613</v>
      </c>
      <c r="H12" s="11" t="s">
        <v>614</v>
      </c>
      <c r="I12" s="37" t="s">
        <v>1382</v>
      </c>
      <c r="J12" s="12" t="str">
        <f t="shared" si="0"/>
        <v>L-DFE32CAH1R0MR0L</v>
      </c>
      <c r="K12" s="12" t="str">
        <f t="shared" si="1"/>
        <v>L-DFE32CAH1R0MR0L</v>
      </c>
    </row>
    <row r="13" spans="1:11" x14ac:dyDescent="0.25">
      <c r="A13" s="2">
        <v>74438367100</v>
      </c>
      <c r="B13" s="37" t="s">
        <v>1403</v>
      </c>
      <c r="C13" s="3" t="s">
        <v>675</v>
      </c>
      <c r="D13" s="37" t="s">
        <v>1404</v>
      </c>
      <c r="E13" s="37" t="s">
        <v>683</v>
      </c>
      <c r="F13" s="5" t="s">
        <v>612</v>
      </c>
      <c r="G13" s="11" t="s">
        <v>613</v>
      </c>
      <c r="H13" s="11" t="s">
        <v>614</v>
      </c>
      <c r="I13" s="37" t="s">
        <v>1405</v>
      </c>
      <c r="J13" s="12" t="str">
        <f t="shared" si="0"/>
        <v>L-74438367100</v>
      </c>
      <c r="K13" s="12" t="str">
        <f t="shared" si="1"/>
        <v>L-74438367100</v>
      </c>
    </row>
    <row r="14" spans="1:11" x14ac:dyDescent="0.25">
      <c r="A14" s="11" t="s">
        <v>1412</v>
      </c>
      <c r="B14" s="2" t="s">
        <v>1413</v>
      </c>
      <c r="C14" s="2" t="s">
        <v>675</v>
      </c>
      <c r="D14" s="2" t="s">
        <v>1414</v>
      </c>
      <c r="E14" s="2" t="s">
        <v>717</v>
      </c>
      <c r="F14" s="5" t="s">
        <v>612</v>
      </c>
      <c r="G14" s="11" t="s">
        <v>613</v>
      </c>
      <c r="H14" s="11" t="s">
        <v>614</v>
      </c>
      <c r="I14" s="2" t="s">
        <v>1415</v>
      </c>
      <c r="J14" s="12" t="str">
        <f t="shared" si="0"/>
        <v>L-7443844020047</v>
      </c>
      <c r="K14" s="12" t="str">
        <f t="shared" si="1"/>
        <v>L-7443844020047</v>
      </c>
    </row>
  </sheetData>
  <conditionalFormatting sqref="I2:I14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showGridLines="0" workbookViewId="0">
      <selection activeCell="D28" sqref="D28"/>
    </sheetView>
  </sheetViews>
  <sheetFormatPr defaultRowHeight="15.75" x14ac:dyDescent="0.25"/>
  <cols>
    <col min="1" max="1" width="21.75" customWidth="1"/>
    <col min="2" max="2" width="86.375" customWidth="1"/>
    <col min="3" max="3" width="21.875" customWidth="1"/>
    <col min="4" max="4" width="36.25" customWidth="1"/>
    <col min="5" max="5" width="18.125" customWidth="1"/>
    <col min="6" max="6" width="26" customWidth="1"/>
    <col min="7" max="7" width="21.75" customWidth="1"/>
    <col min="8" max="8" width="18.125" customWidth="1"/>
    <col min="9" max="9" width="17.75" customWidth="1"/>
  </cols>
  <sheetData>
    <row r="1" spans="1:11" s="11" customFormat="1" x14ac:dyDescent="0.25">
      <c r="A1" s="9" t="s">
        <v>0</v>
      </c>
      <c r="B1" s="9" t="s">
        <v>1</v>
      </c>
      <c r="C1" s="9" t="s">
        <v>2</v>
      </c>
      <c r="D1" s="9" t="s">
        <v>9</v>
      </c>
      <c r="E1" s="9" t="s">
        <v>10</v>
      </c>
      <c r="F1" s="9" t="s">
        <v>156</v>
      </c>
      <c r="G1" s="9" t="s">
        <v>157</v>
      </c>
      <c r="H1" s="19" t="s">
        <v>15</v>
      </c>
      <c r="I1" s="19" t="s">
        <v>158</v>
      </c>
    </row>
    <row r="2" spans="1:11" x14ac:dyDescent="0.25">
      <c r="A2" s="7" t="s">
        <v>723</v>
      </c>
      <c r="B2" s="7" t="s">
        <v>724</v>
      </c>
      <c r="C2" s="9" t="s">
        <v>630</v>
      </c>
      <c r="D2" s="7" t="s">
        <v>725</v>
      </c>
      <c r="E2" s="9" t="s">
        <v>726</v>
      </c>
      <c r="F2" s="9"/>
      <c r="G2" s="9"/>
      <c r="H2" s="10" t="str">
        <f>"Z-"&amp;A2</f>
        <v>Z-BNX025H01L</v>
      </c>
      <c r="I2" s="10" t="str">
        <f>H2</f>
        <v>Z-BNX025H01L</v>
      </c>
    </row>
    <row r="3" spans="1:11" x14ac:dyDescent="0.25">
      <c r="A3" s="7" t="s">
        <v>727</v>
      </c>
      <c r="B3" s="7" t="s">
        <v>728</v>
      </c>
      <c r="C3" s="9" t="s">
        <v>630</v>
      </c>
      <c r="D3" s="7" t="s">
        <v>725</v>
      </c>
      <c r="E3" s="7" t="s">
        <v>729</v>
      </c>
      <c r="F3" s="7"/>
      <c r="G3" s="7"/>
      <c r="H3" s="10" t="str">
        <f>"Z-"&amp;A3</f>
        <v>Z-NFM41PC155B1E3</v>
      </c>
      <c r="I3" s="10" t="str">
        <f>H3</f>
        <v>Z-NFM41PC155B1E3</v>
      </c>
    </row>
    <row r="4" spans="1:11" s="11" customFormat="1" ht="20.100000000000001" customHeight="1" x14ac:dyDescent="0.25">
      <c r="A4" s="9" t="s">
        <v>700</v>
      </c>
      <c r="B4" s="22" t="s">
        <v>701</v>
      </c>
      <c r="C4" s="9" t="s">
        <v>630</v>
      </c>
      <c r="D4" s="7" t="s">
        <v>612</v>
      </c>
      <c r="E4" s="9" t="s">
        <v>702</v>
      </c>
      <c r="F4" s="11" t="s">
        <v>614</v>
      </c>
      <c r="G4" s="11" t="s">
        <v>703</v>
      </c>
      <c r="H4" s="10" t="str">
        <f>"F-"&amp;A4</f>
        <v>F-BLM15GG471SN1D</v>
      </c>
      <c r="I4" s="10" t="str">
        <f>H4</f>
        <v>F-BLM15GG471SN1D</v>
      </c>
    </row>
    <row r="5" spans="1:11" s="11" customFormat="1" ht="20.100000000000001" customHeight="1" x14ac:dyDescent="0.25">
      <c r="A5" s="11" t="s">
        <v>704</v>
      </c>
      <c r="B5" s="3" t="s">
        <v>705</v>
      </c>
      <c r="C5" s="11" t="s">
        <v>630</v>
      </c>
      <c r="D5" s="7" t="s">
        <v>612</v>
      </c>
      <c r="E5" s="9" t="s">
        <v>702</v>
      </c>
      <c r="F5" s="11" t="s">
        <v>614</v>
      </c>
      <c r="G5" s="11" t="s">
        <v>706</v>
      </c>
      <c r="H5" s="10" t="str">
        <f t="shared" ref="H5:H6" si="0">"F-"&amp;A5</f>
        <v>F-BLM18PG471SN1D</v>
      </c>
      <c r="I5" s="10" t="str">
        <f t="shared" ref="I5:I6" si="1">H5</f>
        <v>F-BLM18PG471SN1D</v>
      </c>
      <c r="J5" s="12"/>
      <c r="K5" s="12"/>
    </row>
    <row r="6" spans="1:11" s="2" customFormat="1" x14ac:dyDescent="0.25">
      <c r="A6" s="2" t="s">
        <v>707</v>
      </c>
      <c r="B6" s="2" t="s">
        <v>708</v>
      </c>
      <c r="C6" s="11" t="s">
        <v>630</v>
      </c>
      <c r="D6" s="7" t="s">
        <v>612</v>
      </c>
      <c r="E6" s="9" t="s">
        <v>702</v>
      </c>
      <c r="F6" s="11" t="s">
        <v>614</v>
      </c>
      <c r="G6" s="11" t="s">
        <v>703</v>
      </c>
      <c r="H6" s="10" t="str">
        <f t="shared" si="0"/>
        <v>F-BLM15PD121SN1D</v>
      </c>
      <c r="I6" s="10" t="str">
        <f t="shared" si="1"/>
        <v>F-BLM15PD121SN1D</v>
      </c>
      <c r="J6" s="12"/>
      <c r="K6" s="12"/>
    </row>
  </sheetData>
  <conditionalFormatting sqref="G2:G6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showGridLines="0" topLeftCell="B1" zoomScale="85" zoomScaleNormal="85" workbookViewId="0">
      <selection activeCell="I38" sqref="I38"/>
    </sheetView>
  </sheetViews>
  <sheetFormatPr defaultRowHeight="15.75" x14ac:dyDescent="0.25"/>
  <cols>
    <col min="1" max="1" width="45.125" style="2" customWidth="1"/>
    <col min="2" max="2" width="55" style="2" customWidth="1"/>
    <col min="3" max="3" width="16.25" style="2" customWidth="1"/>
    <col min="4" max="4" width="18.375" style="2" customWidth="1"/>
    <col min="5" max="5" width="10.875" style="2" customWidth="1"/>
    <col min="6" max="7" width="10.125" style="2" customWidth="1"/>
    <col min="8" max="8" width="29.5" style="2" customWidth="1"/>
    <col min="9" max="9" width="21" style="2" customWidth="1"/>
    <col min="10" max="10" width="23" style="2" customWidth="1"/>
    <col min="11" max="11" width="20.875" style="2" customWidth="1"/>
    <col min="12" max="12" width="28.125" style="2" customWidth="1"/>
    <col min="13" max="13" width="28.625" style="2" customWidth="1"/>
    <col min="14" max="16384" width="9" style="2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154</v>
      </c>
      <c r="F1" s="11" t="s">
        <v>155</v>
      </c>
      <c r="G1" s="11" t="s">
        <v>8</v>
      </c>
      <c r="H1" s="11" t="s">
        <v>9</v>
      </c>
      <c r="I1" s="11" t="s">
        <v>10</v>
      </c>
      <c r="J1" s="11" t="s">
        <v>156</v>
      </c>
      <c r="K1" s="11" t="s">
        <v>157</v>
      </c>
      <c r="L1" s="20" t="s">
        <v>15</v>
      </c>
      <c r="M1" s="24" t="s">
        <v>158</v>
      </c>
    </row>
    <row r="2" spans="1:13" x14ac:dyDescent="0.25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6" t="s">
        <v>164</v>
      </c>
      <c r="G2" s="2" t="s">
        <v>165</v>
      </c>
      <c r="H2" s="2" t="s">
        <v>166</v>
      </c>
      <c r="I2" s="2" t="s">
        <v>159</v>
      </c>
      <c r="J2" s="11" t="s">
        <v>167</v>
      </c>
      <c r="K2" s="2" t="s">
        <v>168</v>
      </c>
      <c r="L2" s="2" t="str">
        <f t="shared" ref="L2:L30" si="0">A2</f>
        <v>ADM7150ACPZ-3.3</v>
      </c>
      <c r="M2" s="2" t="str">
        <f t="shared" ref="M2:M19" si="1">L2</f>
        <v>ADM7150ACPZ-3.3</v>
      </c>
    </row>
    <row r="3" spans="1:13" x14ac:dyDescent="0.25">
      <c r="A3" s="2" t="s">
        <v>169</v>
      </c>
      <c r="B3" s="2" t="s">
        <v>160</v>
      </c>
      <c r="C3" s="2" t="s">
        <v>161</v>
      </c>
      <c r="D3" s="2" t="s">
        <v>162</v>
      </c>
      <c r="E3" s="2" t="s">
        <v>170</v>
      </c>
      <c r="F3" s="6" t="s">
        <v>171</v>
      </c>
      <c r="G3" s="2" t="s">
        <v>165</v>
      </c>
      <c r="H3" s="2" t="s">
        <v>166</v>
      </c>
      <c r="I3" s="2" t="s">
        <v>172</v>
      </c>
      <c r="J3" s="11" t="s">
        <v>167</v>
      </c>
      <c r="K3" s="5" t="s">
        <v>168</v>
      </c>
      <c r="L3" s="2" t="str">
        <f t="shared" si="0"/>
        <v>ADM7154ACPZ-1.8-R7</v>
      </c>
      <c r="M3" s="2" t="str">
        <f t="shared" si="1"/>
        <v>ADM7154ACPZ-1.8-R7</v>
      </c>
    </row>
    <row r="4" spans="1:13" x14ac:dyDescent="0.25">
      <c r="A4" s="2" t="s">
        <v>173</v>
      </c>
      <c r="B4" s="2" t="s">
        <v>174</v>
      </c>
      <c r="C4" s="2" t="s">
        <v>161</v>
      </c>
      <c r="D4" s="2" t="s">
        <v>162</v>
      </c>
      <c r="E4" s="2" t="s">
        <v>175</v>
      </c>
      <c r="F4" s="2" t="s">
        <v>176</v>
      </c>
      <c r="G4" s="2" t="s">
        <v>165</v>
      </c>
      <c r="H4" s="2" t="s">
        <v>166</v>
      </c>
      <c r="I4" s="2" t="s">
        <v>177</v>
      </c>
      <c r="J4" s="11" t="s">
        <v>167</v>
      </c>
      <c r="K4" s="2" t="s">
        <v>168</v>
      </c>
      <c r="L4" s="2" t="str">
        <f t="shared" si="0"/>
        <v>ADM7170ACPZ-R7</v>
      </c>
      <c r="M4" s="2" t="str">
        <f t="shared" si="1"/>
        <v>ADM7170ACPZ-R7</v>
      </c>
    </row>
    <row r="5" spans="1:13" x14ac:dyDescent="0.25">
      <c r="A5" s="2" t="s">
        <v>178</v>
      </c>
      <c r="B5" s="2" t="s">
        <v>174</v>
      </c>
      <c r="C5" s="2" t="s">
        <v>161</v>
      </c>
      <c r="D5" s="2" t="s">
        <v>162</v>
      </c>
      <c r="E5" s="2" t="s">
        <v>175</v>
      </c>
      <c r="F5" s="2" t="s">
        <v>176</v>
      </c>
      <c r="G5" s="2" t="s">
        <v>165</v>
      </c>
      <c r="H5" s="2" t="s">
        <v>166</v>
      </c>
      <c r="I5" s="2" t="s">
        <v>177</v>
      </c>
      <c r="J5" s="11" t="s">
        <v>167</v>
      </c>
      <c r="K5" s="2" t="s">
        <v>168</v>
      </c>
      <c r="L5" s="2" t="str">
        <f t="shared" si="0"/>
        <v>ADM7172ACPZ-R7</v>
      </c>
      <c r="M5" s="2" t="str">
        <f t="shared" si="1"/>
        <v>ADM7172ACPZ-R7</v>
      </c>
    </row>
    <row r="6" spans="1:13" x14ac:dyDescent="0.25">
      <c r="A6" s="2" t="s">
        <v>179</v>
      </c>
      <c r="B6" s="2" t="s">
        <v>180</v>
      </c>
      <c r="C6" s="2" t="s">
        <v>161</v>
      </c>
      <c r="D6" s="2" t="s">
        <v>181</v>
      </c>
      <c r="E6" s="2" t="s">
        <v>182</v>
      </c>
      <c r="F6" s="6" t="s">
        <v>171</v>
      </c>
      <c r="G6" s="2" t="s">
        <v>165</v>
      </c>
      <c r="H6" s="2" t="s">
        <v>166</v>
      </c>
      <c r="I6" s="2" t="s">
        <v>183</v>
      </c>
      <c r="J6" s="11" t="s">
        <v>167</v>
      </c>
      <c r="K6" s="2" t="s">
        <v>184</v>
      </c>
      <c r="L6" s="2" t="str">
        <f t="shared" si="0"/>
        <v>ADP151AUJZ-1.8</v>
      </c>
      <c r="M6" s="2" t="str">
        <f t="shared" si="1"/>
        <v>ADP151AUJZ-1.8</v>
      </c>
    </row>
    <row r="7" spans="1:13" x14ac:dyDescent="0.25">
      <c r="A7" s="2" t="s">
        <v>183</v>
      </c>
      <c r="B7" s="2" t="s">
        <v>180</v>
      </c>
      <c r="C7" s="2" t="s">
        <v>161</v>
      </c>
      <c r="D7" s="2" t="s">
        <v>181</v>
      </c>
      <c r="E7" s="2" t="s">
        <v>182</v>
      </c>
      <c r="F7" s="6" t="s">
        <v>185</v>
      </c>
      <c r="G7" s="2" t="s">
        <v>165</v>
      </c>
      <c r="H7" s="2" t="s">
        <v>166</v>
      </c>
      <c r="I7" s="2" t="s">
        <v>183</v>
      </c>
      <c r="J7" s="11" t="s">
        <v>167</v>
      </c>
      <c r="L7" s="2" t="str">
        <f t="shared" si="0"/>
        <v>ADP151AUJZ-2.5</v>
      </c>
      <c r="M7" s="2" t="str">
        <f t="shared" si="1"/>
        <v>ADP151AUJZ-2.5</v>
      </c>
    </row>
    <row r="8" spans="1:13" x14ac:dyDescent="0.25">
      <c r="A8" s="2" t="s">
        <v>186</v>
      </c>
      <c r="B8" s="2" t="s">
        <v>187</v>
      </c>
      <c r="C8" s="2" t="s">
        <v>161</v>
      </c>
      <c r="D8" s="2" t="s">
        <v>188</v>
      </c>
      <c r="E8" s="2" t="s">
        <v>189</v>
      </c>
      <c r="F8" s="2" t="s">
        <v>190</v>
      </c>
      <c r="G8" s="2" t="s">
        <v>165</v>
      </c>
      <c r="H8" s="2" t="s">
        <v>166</v>
      </c>
      <c r="I8" s="2" t="s">
        <v>186</v>
      </c>
      <c r="J8" s="11" t="s">
        <v>167</v>
      </c>
      <c r="L8" s="2" t="str">
        <f t="shared" si="0"/>
        <v>ADP1763ACPZ</v>
      </c>
      <c r="M8" s="2" t="str">
        <f t="shared" si="1"/>
        <v>ADP1763ACPZ</v>
      </c>
    </row>
    <row r="9" spans="1:13" x14ac:dyDescent="0.25">
      <c r="A9" s="2" t="s">
        <v>191</v>
      </c>
      <c r="B9" s="2" t="s">
        <v>192</v>
      </c>
      <c r="C9" s="2" t="s">
        <v>161</v>
      </c>
      <c r="D9" s="2" t="s">
        <v>193</v>
      </c>
      <c r="E9" s="2" t="s">
        <v>194</v>
      </c>
      <c r="F9" s="2">
        <v>1</v>
      </c>
      <c r="G9" s="5" t="s">
        <v>195</v>
      </c>
      <c r="H9" s="2" t="s">
        <v>196</v>
      </c>
      <c r="I9" s="2" t="s">
        <v>197</v>
      </c>
      <c r="J9" s="11" t="s">
        <v>167</v>
      </c>
      <c r="K9" s="2" t="s">
        <v>198</v>
      </c>
      <c r="L9" s="2" t="str">
        <f t="shared" si="0"/>
        <v>ADP2166ACPZ-1.0-R7</v>
      </c>
      <c r="M9" s="2" t="str">
        <f t="shared" si="1"/>
        <v>ADP2166ACPZ-1.0-R7</v>
      </c>
    </row>
    <row r="10" spans="1:13" x14ac:dyDescent="0.25">
      <c r="A10" s="2" t="s">
        <v>199</v>
      </c>
      <c r="B10" s="2" t="s">
        <v>200</v>
      </c>
      <c r="C10" s="2" t="s">
        <v>161</v>
      </c>
      <c r="D10" s="2" t="s">
        <v>201</v>
      </c>
      <c r="E10" s="2" t="s">
        <v>202</v>
      </c>
      <c r="F10" s="2" t="s">
        <v>203</v>
      </c>
      <c r="G10" s="5" t="s">
        <v>195</v>
      </c>
      <c r="H10" s="2" t="s">
        <v>196</v>
      </c>
      <c r="I10" s="2" t="s">
        <v>199</v>
      </c>
      <c r="J10" s="11" t="s">
        <v>167</v>
      </c>
      <c r="L10" s="2" t="str">
        <f t="shared" si="0"/>
        <v>ADP5054ACPZ</v>
      </c>
      <c r="M10" s="2" t="str">
        <f t="shared" si="1"/>
        <v>ADP5054ACPZ</v>
      </c>
    </row>
    <row r="11" spans="1:13" x14ac:dyDescent="0.25">
      <c r="A11" s="2" t="s">
        <v>1330</v>
      </c>
      <c r="B11" s="2" t="s">
        <v>1331</v>
      </c>
      <c r="C11" s="2" t="s">
        <v>204</v>
      </c>
      <c r="D11" s="2" t="s">
        <v>205</v>
      </c>
      <c r="E11" s="2" t="s">
        <v>206</v>
      </c>
      <c r="F11" s="2" t="s">
        <v>207</v>
      </c>
      <c r="G11" s="5" t="s">
        <v>195</v>
      </c>
      <c r="H11" s="2" t="s">
        <v>196</v>
      </c>
      <c r="I11" s="2" t="s">
        <v>208</v>
      </c>
      <c r="J11" s="11" t="s">
        <v>167</v>
      </c>
      <c r="K11" s="2" t="s">
        <v>205</v>
      </c>
      <c r="L11" s="2" t="str">
        <f t="shared" si="0"/>
        <v>LM2585S-ADJ/NOPB</v>
      </c>
      <c r="M11" s="2" t="str">
        <f t="shared" si="1"/>
        <v>LM2585S-ADJ/NOPB</v>
      </c>
    </row>
    <row r="12" spans="1:13" x14ac:dyDescent="0.25">
      <c r="A12" s="2" t="s">
        <v>209</v>
      </c>
      <c r="B12" s="2" t="s">
        <v>210</v>
      </c>
      <c r="C12" s="2" t="s">
        <v>204</v>
      </c>
      <c r="D12" s="2" t="s">
        <v>211</v>
      </c>
      <c r="E12" s="2" t="s">
        <v>212</v>
      </c>
      <c r="F12" s="5" t="s">
        <v>213</v>
      </c>
      <c r="G12" s="5" t="s">
        <v>195</v>
      </c>
      <c r="H12" s="2" t="s">
        <v>196</v>
      </c>
      <c r="I12" s="2" t="s">
        <v>214</v>
      </c>
      <c r="J12" s="11" t="s">
        <v>167</v>
      </c>
      <c r="K12" s="2" t="s">
        <v>211</v>
      </c>
      <c r="L12" s="2" t="str">
        <f t="shared" si="0"/>
        <v>LM2664M6X</v>
      </c>
      <c r="M12" s="2" t="str">
        <f t="shared" si="1"/>
        <v>LM2664M6X</v>
      </c>
    </row>
    <row r="13" spans="1:13" x14ac:dyDescent="0.25">
      <c r="A13" s="18" t="s">
        <v>215</v>
      </c>
      <c r="B13" s="2" t="s">
        <v>216</v>
      </c>
      <c r="C13" s="2" t="s">
        <v>204</v>
      </c>
      <c r="D13" s="2" t="s">
        <v>217</v>
      </c>
      <c r="E13" s="2" t="s">
        <v>218</v>
      </c>
      <c r="F13" s="5" t="s">
        <v>219</v>
      </c>
      <c r="G13" s="2" t="s">
        <v>165</v>
      </c>
      <c r="H13" s="2" t="s">
        <v>166</v>
      </c>
      <c r="I13" s="2" t="s">
        <v>215</v>
      </c>
      <c r="J13" s="11" t="s">
        <v>167</v>
      </c>
      <c r="K13" s="2" t="s">
        <v>217</v>
      </c>
      <c r="L13" s="2" t="str">
        <f t="shared" si="0"/>
        <v>LM27762DSS</v>
      </c>
      <c r="M13" s="2" t="str">
        <f t="shared" si="1"/>
        <v>LM27762DSS</v>
      </c>
    </row>
    <row r="14" spans="1:13" x14ac:dyDescent="0.25">
      <c r="A14" s="2" t="s">
        <v>220</v>
      </c>
      <c r="B14" s="2" t="s">
        <v>221</v>
      </c>
      <c r="C14" s="2" t="s">
        <v>204</v>
      </c>
      <c r="D14" s="2" t="s">
        <v>222</v>
      </c>
      <c r="E14" s="2" t="s">
        <v>223</v>
      </c>
      <c r="F14" s="2">
        <v>5</v>
      </c>
      <c r="G14" s="2" t="s">
        <v>165</v>
      </c>
      <c r="H14" s="2" t="s">
        <v>166</v>
      </c>
      <c r="I14" s="2" t="s">
        <v>224</v>
      </c>
      <c r="J14" s="11" t="s">
        <v>167</v>
      </c>
      <c r="K14" s="2" t="s">
        <v>222</v>
      </c>
      <c r="L14" s="2" t="str">
        <f t="shared" si="0"/>
        <v>LP38690SD-5.0</v>
      </c>
      <c r="M14" s="2" t="str">
        <f t="shared" si="1"/>
        <v>LP38690SD-5.0</v>
      </c>
    </row>
    <row r="15" spans="1:13" x14ac:dyDescent="0.25">
      <c r="A15" s="2" t="s">
        <v>225</v>
      </c>
      <c r="B15" s="2" t="s">
        <v>226</v>
      </c>
      <c r="C15" s="2" t="s">
        <v>204</v>
      </c>
      <c r="D15" s="2" t="s">
        <v>222</v>
      </c>
      <c r="E15" s="2" t="s">
        <v>227</v>
      </c>
      <c r="F15" s="2">
        <v>5</v>
      </c>
      <c r="G15" s="2" t="s">
        <v>165</v>
      </c>
      <c r="H15" s="2" t="s">
        <v>166</v>
      </c>
      <c r="I15" s="2" t="s">
        <v>228</v>
      </c>
      <c r="J15" s="11" t="s">
        <v>167</v>
      </c>
      <c r="K15" s="2" t="s">
        <v>222</v>
      </c>
      <c r="L15" s="2" t="str">
        <f t="shared" si="0"/>
        <v>LP5912-5.0DRVR</v>
      </c>
      <c r="M15" s="2" t="str">
        <f t="shared" si="1"/>
        <v>LP5912-5.0DRVR</v>
      </c>
    </row>
    <row r="16" spans="1:13" x14ac:dyDescent="0.25">
      <c r="A16" s="2" t="s">
        <v>229</v>
      </c>
      <c r="B16" s="2" t="s">
        <v>230</v>
      </c>
      <c r="C16" s="2" t="s">
        <v>161</v>
      </c>
      <c r="D16" s="2" t="s">
        <v>231</v>
      </c>
      <c r="E16" s="2" t="s">
        <v>232</v>
      </c>
      <c r="F16" s="2" t="s">
        <v>233</v>
      </c>
      <c r="G16" s="2" t="s">
        <v>165</v>
      </c>
      <c r="H16" s="2" t="s">
        <v>166</v>
      </c>
      <c r="I16" s="2" t="s">
        <v>234</v>
      </c>
      <c r="J16" s="11" t="s">
        <v>167</v>
      </c>
      <c r="K16" s="2" t="s">
        <v>235</v>
      </c>
      <c r="L16" s="2" t="str">
        <f t="shared" si="0"/>
        <v>LT1764EFE#PBF</v>
      </c>
      <c r="M16" s="2" t="str">
        <f t="shared" si="1"/>
        <v>LT1764EFE#PBF</v>
      </c>
    </row>
    <row r="17" spans="1:13" x14ac:dyDescent="0.25">
      <c r="A17" s="2" t="s">
        <v>236</v>
      </c>
      <c r="B17" s="2" t="s">
        <v>237</v>
      </c>
      <c r="C17" s="2" t="s">
        <v>161</v>
      </c>
      <c r="D17" s="2" t="s">
        <v>238</v>
      </c>
      <c r="E17" s="2" t="s">
        <v>239</v>
      </c>
      <c r="F17" s="2" t="s">
        <v>240</v>
      </c>
      <c r="G17" s="2" t="s">
        <v>165</v>
      </c>
      <c r="H17" s="2" t="s">
        <v>166</v>
      </c>
      <c r="I17" s="2" t="s">
        <v>241</v>
      </c>
      <c r="J17" s="11" t="s">
        <v>167</v>
      </c>
      <c r="K17" s="2" t="s">
        <v>242</v>
      </c>
      <c r="L17" s="2" t="str">
        <f t="shared" si="0"/>
        <v>LT1965EDD#PBF</v>
      </c>
      <c r="M17" s="2" t="str">
        <f t="shared" si="1"/>
        <v>LT1965EDD#PBF</v>
      </c>
    </row>
    <row r="18" spans="1:13" x14ac:dyDescent="0.25">
      <c r="A18" s="2" t="s">
        <v>243</v>
      </c>
      <c r="B18" s="37" t="s">
        <v>244</v>
      </c>
      <c r="C18" s="2" t="s">
        <v>161</v>
      </c>
      <c r="D18" s="2" t="s">
        <v>245</v>
      </c>
      <c r="E18" s="2" t="s">
        <v>246</v>
      </c>
      <c r="F18" s="2" t="s">
        <v>247</v>
      </c>
      <c r="G18" s="5" t="s">
        <v>195</v>
      </c>
      <c r="H18" s="2" t="s">
        <v>196</v>
      </c>
      <c r="I18" s="2" t="s">
        <v>243</v>
      </c>
      <c r="J18" s="11" t="s">
        <v>167</v>
      </c>
      <c r="L18" s="2" t="str">
        <f t="shared" si="0"/>
        <v>LT8612EUDE</v>
      </c>
      <c r="M18" s="2" t="str">
        <f t="shared" si="1"/>
        <v>LT8612EUDE</v>
      </c>
    </row>
    <row r="19" spans="1:13" x14ac:dyDescent="0.25">
      <c r="A19" s="2" t="s">
        <v>248</v>
      </c>
      <c r="B19" s="2" t="s">
        <v>249</v>
      </c>
      <c r="C19" s="2" t="s">
        <v>161</v>
      </c>
      <c r="D19" s="2" t="s">
        <v>250</v>
      </c>
      <c r="E19" s="2" t="s">
        <v>251</v>
      </c>
      <c r="F19" s="2" t="s">
        <v>252</v>
      </c>
      <c r="G19" s="5" t="s">
        <v>195</v>
      </c>
      <c r="H19" s="2" t="s">
        <v>196</v>
      </c>
      <c r="I19" s="2" t="s">
        <v>248</v>
      </c>
      <c r="J19" s="11" t="s">
        <v>167</v>
      </c>
      <c r="K19" s="2" t="s">
        <v>253</v>
      </c>
      <c r="L19" s="2" t="str">
        <f t="shared" si="0"/>
        <v>LTM4644</v>
      </c>
      <c r="M19" s="2" t="str">
        <f t="shared" si="1"/>
        <v>LTM4644</v>
      </c>
    </row>
    <row r="20" spans="1:13" x14ac:dyDescent="0.25">
      <c r="A20" s="2" t="s">
        <v>254</v>
      </c>
      <c r="B20" s="2" t="s">
        <v>255</v>
      </c>
      <c r="C20" s="2" t="s">
        <v>161</v>
      </c>
      <c r="D20" s="2" t="s">
        <v>256</v>
      </c>
      <c r="E20" s="2" t="s">
        <v>257</v>
      </c>
      <c r="F20" s="2" t="s">
        <v>258</v>
      </c>
      <c r="G20" s="5" t="s">
        <v>195</v>
      </c>
      <c r="H20" s="2" t="s">
        <v>196</v>
      </c>
      <c r="I20" s="2" t="s">
        <v>254</v>
      </c>
      <c r="J20" s="11" t="s">
        <v>167</v>
      </c>
      <c r="K20" s="2" t="s">
        <v>259</v>
      </c>
      <c r="L20" s="2" t="str">
        <f t="shared" si="0"/>
        <v>LTM4732</v>
      </c>
      <c r="M20" s="2" t="s">
        <v>254</v>
      </c>
    </row>
    <row r="21" spans="1:13" x14ac:dyDescent="0.25">
      <c r="A21" s="2" t="s">
        <v>260</v>
      </c>
      <c r="B21" s="2" t="s">
        <v>261</v>
      </c>
      <c r="C21" s="2" t="s">
        <v>262</v>
      </c>
      <c r="D21" s="2" t="s">
        <v>263</v>
      </c>
      <c r="E21" s="2" t="s">
        <v>264</v>
      </c>
      <c r="F21" s="2" t="s">
        <v>265</v>
      </c>
      <c r="G21" s="2" t="s">
        <v>165</v>
      </c>
      <c r="H21" s="2" t="s">
        <v>166</v>
      </c>
      <c r="I21" s="2" t="s">
        <v>266</v>
      </c>
      <c r="J21" s="11" t="s">
        <v>167</v>
      </c>
      <c r="L21" s="2" t="str">
        <f t="shared" si="0"/>
        <v>SGM2208XTDF12G/TR</v>
      </c>
      <c r="M21" s="2" t="str">
        <f t="shared" ref="M21:M35" si="2">L21</f>
        <v>SGM2208XTDF12G/TR</v>
      </c>
    </row>
    <row r="22" spans="1:13" x14ac:dyDescent="0.25">
      <c r="A22" s="2" t="s">
        <v>267</v>
      </c>
      <c r="B22" s="2" t="s">
        <v>268</v>
      </c>
      <c r="C22" s="2" t="s">
        <v>204</v>
      </c>
      <c r="D22" s="2" t="s">
        <v>269</v>
      </c>
      <c r="E22" s="2" t="s">
        <v>270</v>
      </c>
      <c r="F22" s="6" t="s">
        <v>271</v>
      </c>
      <c r="G22" s="2" t="s">
        <v>165</v>
      </c>
      <c r="H22" s="2" t="s">
        <v>166</v>
      </c>
      <c r="I22" s="2" t="s">
        <v>267</v>
      </c>
      <c r="J22" s="11" t="s">
        <v>167</v>
      </c>
      <c r="K22" s="2" t="s">
        <v>184</v>
      </c>
      <c r="L22" s="2" t="str">
        <f t="shared" si="0"/>
        <v>TLV73310PDBVR</v>
      </c>
      <c r="M22" s="2" t="str">
        <f t="shared" si="2"/>
        <v>TLV73310PDBVR</v>
      </c>
    </row>
    <row r="23" spans="1:13" x14ac:dyDescent="0.25">
      <c r="A23" s="2" t="s">
        <v>272</v>
      </c>
      <c r="B23" s="2" t="s">
        <v>273</v>
      </c>
      <c r="C23" s="2" t="s">
        <v>204</v>
      </c>
      <c r="D23" s="2" t="s">
        <v>269</v>
      </c>
      <c r="E23" s="2" t="s">
        <v>182</v>
      </c>
      <c r="F23" s="6" t="s">
        <v>171</v>
      </c>
      <c r="G23" s="2" t="s">
        <v>165</v>
      </c>
      <c r="H23" s="2" t="s">
        <v>166</v>
      </c>
      <c r="I23" s="2" t="s">
        <v>272</v>
      </c>
      <c r="J23" s="11" t="s">
        <v>167</v>
      </c>
      <c r="K23" s="2" t="s">
        <v>184</v>
      </c>
      <c r="L23" s="2" t="str">
        <f t="shared" si="0"/>
        <v>TLV73318PDBVR</v>
      </c>
      <c r="M23" s="2" t="str">
        <f t="shared" si="2"/>
        <v>TLV73318PDBVR</v>
      </c>
    </row>
    <row r="24" spans="1:13" x14ac:dyDescent="0.25">
      <c r="A24" s="2" t="s">
        <v>274</v>
      </c>
      <c r="B24" s="2" t="s">
        <v>275</v>
      </c>
      <c r="C24" s="2" t="s">
        <v>204</v>
      </c>
      <c r="D24" s="2" t="s">
        <v>276</v>
      </c>
      <c r="E24" s="17" t="s">
        <v>277</v>
      </c>
      <c r="F24" s="2" t="s">
        <v>278</v>
      </c>
      <c r="G24" s="5" t="s">
        <v>195</v>
      </c>
      <c r="H24" s="2" t="s">
        <v>196</v>
      </c>
      <c r="I24" s="2" t="s">
        <v>279</v>
      </c>
      <c r="J24" s="11" t="s">
        <v>167</v>
      </c>
      <c r="K24" s="2" t="s">
        <v>276</v>
      </c>
      <c r="L24" s="2" t="str">
        <f t="shared" si="0"/>
        <v>TPS54332DDAR</v>
      </c>
      <c r="M24" s="2" t="str">
        <f t="shared" si="2"/>
        <v>TPS54332DDAR</v>
      </c>
    </row>
    <row r="25" spans="1:13" x14ac:dyDescent="0.25">
      <c r="A25" s="2" t="s">
        <v>280</v>
      </c>
      <c r="B25" s="2" t="s">
        <v>281</v>
      </c>
      <c r="C25" s="2" t="s">
        <v>204</v>
      </c>
      <c r="D25" s="2" t="s">
        <v>282</v>
      </c>
      <c r="E25" s="2" t="s">
        <v>283</v>
      </c>
      <c r="F25" s="2" t="s">
        <v>284</v>
      </c>
      <c r="G25" s="5" t="s">
        <v>195</v>
      </c>
      <c r="H25" s="2" t="s">
        <v>196</v>
      </c>
      <c r="I25" s="2" t="s">
        <v>280</v>
      </c>
      <c r="J25" s="11" t="s">
        <v>167</v>
      </c>
      <c r="L25" s="2" t="str">
        <f t="shared" si="0"/>
        <v>TPS54394RSAR</v>
      </c>
      <c r="M25" s="2" t="str">
        <f t="shared" si="2"/>
        <v>TPS54394RSAR</v>
      </c>
    </row>
    <row r="26" spans="1:13" x14ac:dyDescent="0.25">
      <c r="A26" s="2" t="s">
        <v>285</v>
      </c>
      <c r="B26" s="2" t="s">
        <v>286</v>
      </c>
      <c r="C26" s="2" t="s">
        <v>204</v>
      </c>
      <c r="D26" s="2" t="s">
        <v>287</v>
      </c>
      <c r="E26" s="2" t="s">
        <v>288</v>
      </c>
      <c r="F26" s="16" t="s">
        <v>289</v>
      </c>
      <c r="G26" s="5" t="s">
        <v>195</v>
      </c>
      <c r="H26" s="2" t="s">
        <v>196</v>
      </c>
      <c r="I26" s="2" t="s">
        <v>290</v>
      </c>
      <c r="J26" s="11" t="s">
        <v>167</v>
      </c>
      <c r="K26" s="2" t="s">
        <v>291</v>
      </c>
      <c r="L26" s="2" t="str">
        <f t="shared" si="0"/>
        <v>TPS566238RQFR</v>
      </c>
      <c r="M26" s="2" t="str">
        <f t="shared" si="2"/>
        <v>TPS566238RQFR</v>
      </c>
    </row>
    <row r="27" spans="1:13" x14ac:dyDescent="0.25">
      <c r="A27" s="2" t="s">
        <v>292</v>
      </c>
      <c r="B27" s="2" t="s">
        <v>293</v>
      </c>
      <c r="C27" s="2" t="s">
        <v>204</v>
      </c>
      <c r="D27" s="2" t="s">
        <v>294</v>
      </c>
      <c r="E27" s="2" t="s">
        <v>295</v>
      </c>
      <c r="F27" s="16" t="s">
        <v>296</v>
      </c>
      <c r="G27" s="2" t="s">
        <v>165</v>
      </c>
      <c r="H27" s="2" t="s">
        <v>166</v>
      </c>
      <c r="I27" s="2" t="s">
        <v>297</v>
      </c>
      <c r="J27" s="11" t="s">
        <v>167</v>
      </c>
      <c r="K27" s="2" t="s">
        <v>298</v>
      </c>
      <c r="L27" s="2" t="str">
        <f t="shared" si="0"/>
        <v>TPS7A5401RPSR</v>
      </c>
      <c r="M27" s="2" t="str">
        <f t="shared" si="2"/>
        <v>TPS7A5401RPSR</v>
      </c>
    </row>
    <row r="28" spans="1:13" x14ac:dyDescent="0.25">
      <c r="A28" s="2" t="s">
        <v>299</v>
      </c>
      <c r="B28" s="2" t="s">
        <v>300</v>
      </c>
      <c r="C28" s="2" t="s">
        <v>204</v>
      </c>
      <c r="D28" s="2" t="s">
        <v>301</v>
      </c>
      <c r="E28" s="2" t="s">
        <v>302</v>
      </c>
      <c r="F28" s="2" t="s">
        <v>303</v>
      </c>
      <c r="G28" s="2" t="s">
        <v>165</v>
      </c>
      <c r="H28" s="2" t="s">
        <v>166</v>
      </c>
      <c r="I28" s="2" t="s">
        <v>304</v>
      </c>
      <c r="J28" s="11" t="s">
        <v>167</v>
      </c>
      <c r="K28" s="2" t="s">
        <v>301</v>
      </c>
      <c r="L28" s="2" t="str">
        <f t="shared" si="0"/>
        <v>TPS7A8801RTJ</v>
      </c>
      <c r="M28" s="2" t="str">
        <f t="shared" si="2"/>
        <v>TPS7A8801RTJ</v>
      </c>
    </row>
    <row r="29" spans="1:13" x14ac:dyDescent="0.25">
      <c r="A29" s="2" t="s">
        <v>305</v>
      </c>
      <c r="B29" s="2" t="s">
        <v>306</v>
      </c>
      <c r="C29" s="2" t="s">
        <v>204</v>
      </c>
      <c r="D29" s="2" t="s">
        <v>307</v>
      </c>
      <c r="E29" s="2" t="s">
        <v>308</v>
      </c>
      <c r="F29" s="5" t="s">
        <v>309</v>
      </c>
      <c r="G29" s="5" t="s">
        <v>195</v>
      </c>
      <c r="H29" s="2" t="s">
        <v>196</v>
      </c>
      <c r="I29" s="2" t="s">
        <v>305</v>
      </c>
      <c r="J29" s="11" t="s">
        <v>167</v>
      </c>
      <c r="K29" s="2" t="s">
        <v>310</v>
      </c>
      <c r="L29" s="2" t="str">
        <f t="shared" si="0"/>
        <v>TPS82140SILT</v>
      </c>
      <c r="M29" s="5" t="str">
        <f t="shared" si="2"/>
        <v>TPS82140SILT</v>
      </c>
    </row>
    <row r="30" spans="1:13" x14ac:dyDescent="0.25">
      <c r="A30" s="2" t="s">
        <v>311</v>
      </c>
      <c r="B30" s="2" t="s">
        <v>312</v>
      </c>
      <c r="C30" s="2" t="s">
        <v>161</v>
      </c>
      <c r="D30" s="2" t="s">
        <v>313</v>
      </c>
      <c r="E30" s="2" t="s">
        <v>314</v>
      </c>
      <c r="F30" s="2" t="s">
        <v>258</v>
      </c>
      <c r="G30" s="5" t="s">
        <v>195</v>
      </c>
      <c r="H30" s="2" t="s">
        <v>196</v>
      </c>
      <c r="I30" s="2" t="s">
        <v>311</v>
      </c>
      <c r="J30" s="11" t="s">
        <v>167</v>
      </c>
      <c r="K30" s="2" t="s">
        <v>315</v>
      </c>
      <c r="L30" s="2" t="str">
        <f t="shared" si="0"/>
        <v>LTM4707</v>
      </c>
      <c r="M30" s="5" t="str">
        <f t="shared" si="2"/>
        <v>LTM4707</v>
      </c>
    </row>
    <row r="31" spans="1:13" x14ac:dyDescent="0.25">
      <c r="A31" s="5" t="s">
        <v>1332</v>
      </c>
      <c r="B31" s="5" t="s">
        <v>1333</v>
      </c>
      <c r="C31" s="5" t="s">
        <v>161</v>
      </c>
      <c r="D31" s="5" t="s">
        <v>250</v>
      </c>
      <c r="E31" s="5" t="s">
        <v>1334</v>
      </c>
      <c r="F31" s="5" t="s">
        <v>1335</v>
      </c>
      <c r="G31" s="5" t="s">
        <v>195</v>
      </c>
      <c r="H31" s="5" t="s">
        <v>196</v>
      </c>
      <c r="I31" s="5" t="s">
        <v>1336</v>
      </c>
      <c r="J31" s="5" t="s">
        <v>167</v>
      </c>
      <c r="K31" s="5" t="s">
        <v>253</v>
      </c>
      <c r="L31" s="5" t="s">
        <v>1332</v>
      </c>
      <c r="M31" s="5" t="str">
        <f t="shared" si="2"/>
        <v>LTM4653EY#PBF</v>
      </c>
    </row>
    <row r="32" spans="1:13" x14ac:dyDescent="0.25">
      <c r="A32" s="37" t="s">
        <v>1366</v>
      </c>
      <c r="B32" s="2" t="s">
        <v>1356</v>
      </c>
      <c r="C32" s="5" t="s">
        <v>161</v>
      </c>
      <c r="D32" s="37" t="s">
        <v>1357</v>
      </c>
      <c r="E32" s="37" t="s">
        <v>1358</v>
      </c>
      <c r="F32" s="37" t="s">
        <v>1359</v>
      </c>
      <c r="G32" s="5" t="s">
        <v>195</v>
      </c>
      <c r="H32" s="5" t="s">
        <v>196</v>
      </c>
      <c r="I32" s="37" t="s">
        <v>1360</v>
      </c>
      <c r="J32" s="5" t="s">
        <v>167</v>
      </c>
      <c r="K32" s="37" t="s">
        <v>1361</v>
      </c>
      <c r="L32" s="5" t="str">
        <f>LibraryTable3[[#This Row],[Part Number]]</f>
        <v>LTM4656EY#PBF</v>
      </c>
      <c r="M32" s="5" t="str">
        <f t="shared" si="2"/>
        <v>LTM4656EY#PBF</v>
      </c>
    </row>
    <row r="33" spans="1:13" x14ac:dyDescent="0.25">
      <c r="A33" s="37" t="s">
        <v>1371</v>
      </c>
      <c r="B33" s="2" t="s">
        <v>1372</v>
      </c>
      <c r="C33" s="2" t="s">
        <v>161</v>
      </c>
      <c r="D33" s="37" t="s">
        <v>1373</v>
      </c>
      <c r="E33" s="37" t="s">
        <v>1374</v>
      </c>
      <c r="F33" s="37" t="s">
        <v>1376</v>
      </c>
      <c r="G33" s="5" t="s">
        <v>165</v>
      </c>
      <c r="H33" s="5" t="s">
        <v>166</v>
      </c>
      <c r="I33" s="37" t="s">
        <v>1375</v>
      </c>
      <c r="J33" s="5" t="s">
        <v>167</v>
      </c>
      <c r="K33" s="2" t="s">
        <v>1373</v>
      </c>
      <c r="L33" s="5" t="str">
        <f>LibraryTable3[[#This Row],[Part Number]]</f>
        <v>ADP7142AUJZ</v>
      </c>
      <c r="M33" s="5" t="str">
        <f t="shared" si="2"/>
        <v>ADP7142AUJZ</v>
      </c>
    </row>
    <row r="34" spans="1:13" x14ac:dyDescent="0.25">
      <c r="A34" s="37" t="s">
        <v>1381</v>
      </c>
      <c r="B34" s="2" t="s">
        <v>1383</v>
      </c>
      <c r="C34" s="5" t="s">
        <v>161</v>
      </c>
      <c r="D34" s="37" t="s">
        <v>1384</v>
      </c>
      <c r="E34" s="37" t="s">
        <v>1385</v>
      </c>
      <c r="G34" s="5" t="s">
        <v>195</v>
      </c>
      <c r="H34" s="5" t="s">
        <v>196</v>
      </c>
      <c r="I34" s="5" t="s">
        <v>1381</v>
      </c>
      <c r="J34" s="5" t="s">
        <v>167</v>
      </c>
      <c r="K34" s="37" t="s">
        <v>1384</v>
      </c>
      <c r="L34" s="5" t="str">
        <f>LibraryTable3[[#This Row],[Part Number]]</f>
        <v>LT8645S</v>
      </c>
      <c r="M34" s="5" t="str">
        <f t="shared" si="2"/>
        <v>LT8645S</v>
      </c>
    </row>
    <row r="35" spans="1:13" x14ac:dyDescent="0.25">
      <c r="A35" s="2" t="s">
        <v>1455</v>
      </c>
      <c r="B35" s="2" t="s">
        <v>1456</v>
      </c>
      <c r="C35" s="5" t="s">
        <v>161</v>
      </c>
      <c r="D35" s="37" t="s">
        <v>162</v>
      </c>
      <c r="E35" s="37" t="s">
        <v>175</v>
      </c>
      <c r="F35" s="47" t="s">
        <v>1163</v>
      </c>
      <c r="G35" s="5" t="s">
        <v>165</v>
      </c>
      <c r="H35" s="5" t="s">
        <v>166</v>
      </c>
      <c r="I35" s="5" t="s">
        <v>177</v>
      </c>
      <c r="J35" s="5" t="s">
        <v>167</v>
      </c>
      <c r="K35" s="5" t="s">
        <v>168</v>
      </c>
      <c r="L35" s="5" t="str">
        <f>LibraryTable3[[#This Row],[Part Number]]</f>
        <v>ADM7172ACPZ-3.3</v>
      </c>
      <c r="M35" s="5" t="str">
        <f t="shared" si="2"/>
        <v>ADM7172ACPZ-3.3</v>
      </c>
    </row>
  </sheetData>
  <conditionalFormatting sqref="K2:K30">
    <cfRule type="containsBlanks" priority="2"/>
  </conditionalFormatting>
  <conditionalFormatting sqref="K35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showGridLines="0" workbookViewId="0">
      <selection activeCell="E23" sqref="E23"/>
    </sheetView>
  </sheetViews>
  <sheetFormatPr defaultRowHeight="15.75" x14ac:dyDescent="0.25"/>
  <cols>
    <col min="1" max="1" width="43.5" style="2" customWidth="1"/>
    <col min="2" max="2" width="41" style="2" customWidth="1"/>
    <col min="3" max="3" width="13.75" style="2" customWidth="1"/>
    <col min="4" max="4" width="11.625" style="2" customWidth="1"/>
    <col min="5" max="5" width="18.125" style="2" customWidth="1"/>
    <col min="6" max="6" width="38.625" style="2" customWidth="1"/>
    <col min="7" max="7" width="18.375" style="2" customWidth="1"/>
    <col min="8" max="8" width="25.875" style="2" customWidth="1"/>
    <col min="9" max="9" width="12.375" style="2" customWidth="1"/>
    <col min="10" max="10" width="17.125" style="2" customWidth="1"/>
    <col min="11" max="11" width="16.5" style="2" customWidth="1"/>
    <col min="12" max="16384" width="9" style="2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1158</v>
      </c>
      <c r="F1" s="11" t="s">
        <v>9</v>
      </c>
      <c r="G1" s="11" t="s">
        <v>10</v>
      </c>
      <c r="H1" s="11" t="s">
        <v>156</v>
      </c>
      <c r="I1" s="11" t="s">
        <v>157</v>
      </c>
      <c r="J1" s="20" t="s">
        <v>15</v>
      </c>
      <c r="K1" s="24" t="s">
        <v>158</v>
      </c>
    </row>
    <row r="2" spans="1:11" x14ac:dyDescent="0.25">
      <c r="A2" s="2" t="s">
        <v>1159</v>
      </c>
      <c r="B2" s="2" t="s">
        <v>1160</v>
      </c>
      <c r="C2" s="2" t="s">
        <v>1161</v>
      </c>
      <c r="D2" s="2" t="s">
        <v>1162</v>
      </c>
      <c r="E2" s="2" t="s">
        <v>1163</v>
      </c>
      <c r="F2" s="11" t="s">
        <v>1164</v>
      </c>
      <c r="G2" s="2" t="s">
        <v>1159</v>
      </c>
      <c r="H2" s="2" t="s">
        <v>167</v>
      </c>
      <c r="I2" s="5" t="s">
        <v>1162</v>
      </c>
      <c r="J2" s="2" t="str">
        <f>A2</f>
        <v>SI53340-B-GM</v>
      </c>
      <c r="K2" s="2" t="str">
        <f t="shared" ref="K2:K7" si="0">J2</f>
        <v>SI53340-B-GM</v>
      </c>
    </row>
    <row r="3" spans="1:11" x14ac:dyDescent="0.25">
      <c r="A3" s="2" t="s">
        <v>1165</v>
      </c>
      <c r="B3" s="2" t="s">
        <v>1166</v>
      </c>
      <c r="C3" s="2" t="s">
        <v>204</v>
      </c>
      <c r="D3" s="2" t="s">
        <v>1167</v>
      </c>
      <c r="E3" s="2" t="s">
        <v>1163</v>
      </c>
      <c r="F3" s="11" t="s">
        <v>1164</v>
      </c>
      <c r="G3" s="2" t="s">
        <v>1165</v>
      </c>
      <c r="H3" s="2" t="s">
        <v>167</v>
      </c>
      <c r="I3" s="5"/>
      <c r="J3" s="2" t="str">
        <f t="shared" ref="J3:J7" si="1">A3</f>
        <v>LMK04828BISQ</v>
      </c>
      <c r="K3" s="2" t="str">
        <f t="shared" si="0"/>
        <v>LMK04828BISQ</v>
      </c>
    </row>
    <row r="4" spans="1:11" x14ac:dyDescent="0.25">
      <c r="A4" s="2" t="s">
        <v>1168</v>
      </c>
      <c r="B4" s="2" t="s">
        <v>1169</v>
      </c>
      <c r="C4" s="2" t="s">
        <v>1170</v>
      </c>
      <c r="D4" s="2" t="s">
        <v>1171</v>
      </c>
      <c r="E4" s="2" t="s">
        <v>1163</v>
      </c>
      <c r="F4" s="11" t="s">
        <v>1164</v>
      </c>
      <c r="G4" s="2" t="s">
        <v>1168</v>
      </c>
      <c r="H4" s="2" t="s">
        <v>167</v>
      </c>
      <c r="I4" s="5"/>
      <c r="J4" s="2" t="str">
        <f t="shared" si="1"/>
        <v>CVHD-950-100.000</v>
      </c>
      <c r="K4" s="2" t="str">
        <f t="shared" si="0"/>
        <v>CVHD-950-100.000</v>
      </c>
    </row>
    <row r="5" spans="1:11" x14ac:dyDescent="0.25">
      <c r="A5" s="2" t="s">
        <v>1172</v>
      </c>
      <c r="B5" s="2" t="s">
        <v>1173</v>
      </c>
      <c r="C5" s="2" t="s">
        <v>204</v>
      </c>
      <c r="D5" s="2" t="s">
        <v>1174</v>
      </c>
      <c r="F5" s="11" t="s">
        <v>1175</v>
      </c>
      <c r="G5" s="2" t="s">
        <v>1172</v>
      </c>
      <c r="H5" s="2" t="s">
        <v>167</v>
      </c>
      <c r="I5" s="5" t="s">
        <v>1174</v>
      </c>
      <c r="J5" s="2" t="str">
        <f t="shared" si="1"/>
        <v>TPD4S012</v>
      </c>
      <c r="K5" s="2" t="str">
        <f t="shared" si="0"/>
        <v>TPD4S012</v>
      </c>
    </row>
    <row r="6" spans="1:11" x14ac:dyDescent="0.25">
      <c r="A6" s="2" t="s">
        <v>1176</v>
      </c>
      <c r="B6" s="2" t="s">
        <v>1177</v>
      </c>
      <c r="C6" s="2" t="s">
        <v>1178</v>
      </c>
      <c r="D6" s="2" t="s">
        <v>1171</v>
      </c>
      <c r="F6" s="11" t="s">
        <v>1164</v>
      </c>
      <c r="G6" s="2" t="s">
        <v>1176</v>
      </c>
      <c r="H6" s="2" t="s">
        <v>167</v>
      </c>
      <c r="I6" s="5"/>
      <c r="J6" s="2" t="str">
        <f t="shared" si="1"/>
        <v>7B-25.000MAAJ-T</v>
      </c>
      <c r="K6" s="2" t="str">
        <f t="shared" si="0"/>
        <v>7B-25.000MAAJ-T</v>
      </c>
    </row>
    <row r="7" spans="1:11" x14ac:dyDescent="0.25">
      <c r="A7" s="2" t="s">
        <v>1179</v>
      </c>
      <c r="B7" s="2" t="s">
        <v>1180</v>
      </c>
      <c r="C7" s="2" t="s">
        <v>1181</v>
      </c>
      <c r="D7" s="2" t="s">
        <v>983</v>
      </c>
      <c r="E7" s="2" t="s">
        <v>1163</v>
      </c>
      <c r="F7" s="11" t="s">
        <v>1164</v>
      </c>
      <c r="G7" s="2" t="s">
        <v>1179</v>
      </c>
      <c r="H7" s="2" t="s">
        <v>167</v>
      </c>
      <c r="I7" s="5"/>
      <c r="J7" s="2" t="str">
        <f t="shared" si="1"/>
        <v>ASGTX-C-122.880MHZ-1</v>
      </c>
      <c r="K7" s="2" t="str">
        <f t="shared" si="0"/>
        <v>ASGTX-C-122.880MHZ-1</v>
      </c>
    </row>
    <row r="8" spans="1:11" x14ac:dyDescent="0.25">
      <c r="A8" s="2" t="s">
        <v>1182</v>
      </c>
      <c r="B8" s="2" t="s">
        <v>1183</v>
      </c>
      <c r="C8" s="2" t="s">
        <v>1181</v>
      </c>
      <c r="D8" s="2" t="s">
        <v>983</v>
      </c>
      <c r="E8" s="2" t="s">
        <v>1163</v>
      </c>
      <c r="F8" s="11" t="s">
        <v>1164</v>
      </c>
      <c r="G8" s="2" t="s">
        <v>1179</v>
      </c>
      <c r="H8" s="2" t="s">
        <v>167</v>
      </c>
      <c r="I8" s="5"/>
      <c r="J8" s="2" t="str">
        <f t="shared" ref="J8:J13" si="2">A8</f>
        <v>ASGTX-C-120.00MHZ-1</v>
      </c>
      <c r="K8" s="2" t="str">
        <f t="shared" ref="K8:K13" si="3">J8</f>
        <v>ASGTX-C-120.00MHZ-1</v>
      </c>
    </row>
    <row r="9" spans="1:11" x14ac:dyDescent="0.25">
      <c r="A9" s="2" t="s">
        <v>1184</v>
      </c>
      <c r="B9" s="2" t="s">
        <v>1185</v>
      </c>
      <c r="C9" s="2" t="s">
        <v>1186</v>
      </c>
      <c r="D9" s="2" t="s">
        <v>1187</v>
      </c>
      <c r="E9" s="2" t="s">
        <v>1163</v>
      </c>
      <c r="F9" s="11" t="s">
        <v>1164</v>
      </c>
      <c r="G9" s="2" t="s">
        <v>1188</v>
      </c>
      <c r="H9" s="2" t="s">
        <v>167</v>
      </c>
      <c r="I9" s="5" t="s">
        <v>1189</v>
      </c>
      <c r="J9" s="2" t="str">
        <f t="shared" si="2"/>
        <v>SIT5357AI-FQ-33N0-100.000000X</v>
      </c>
      <c r="K9" s="2" t="str">
        <f t="shared" si="3"/>
        <v>SIT5357AI-FQ-33N0-100.000000X</v>
      </c>
    </row>
    <row r="10" spans="1:11" x14ac:dyDescent="0.25">
      <c r="A10" s="2" t="s">
        <v>1190</v>
      </c>
      <c r="B10" s="2" t="s">
        <v>1191</v>
      </c>
      <c r="C10" s="2" t="s">
        <v>1161</v>
      </c>
      <c r="D10" s="2" t="s">
        <v>1162</v>
      </c>
      <c r="E10" s="2" t="s">
        <v>1192</v>
      </c>
      <c r="F10" s="11" t="s">
        <v>1164</v>
      </c>
      <c r="G10" s="2" t="s">
        <v>1193</v>
      </c>
      <c r="H10" s="2" t="s">
        <v>167</v>
      </c>
      <c r="I10" s="5" t="s">
        <v>1194</v>
      </c>
      <c r="J10" s="2" t="str">
        <f t="shared" si="2"/>
        <v>Si53306-B-GM</v>
      </c>
      <c r="K10" s="2" t="str">
        <f t="shared" si="3"/>
        <v>Si53306-B-GM</v>
      </c>
    </row>
    <row r="11" spans="1:11" x14ac:dyDescent="0.25">
      <c r="A11" s="2" t="s">
        <v>1195</v>
      </c>
      <c r="B11" t="s">
        <v>1196</v>
      </c>
      <c r="C11" s="2" t="s">
        <v>161</v>
      </c>
      <c r="D11" s="2" t="s">
        <v>188</v>
      </c>
      <c r="F11" s="11" t="s">
        <v>1197</v>
      </c>
      <c r="G11" s="2" t="s">
        <v>1195</v>
      </c>
      <c r="H11" s="2" t="s">
        <v>167</v>
      </c>
      <c r="I11" s="5" t="s">
        <v>1198</v>
      </c>
      <c r="J11" s="2" t="str">
        <f t="shared" si="2"/>
        <v>ADA4930-1</v>
      </c>
      <c r="K11" s="2" t="str">
        <f t="shared" si="3"/>
        <v>ADA4930-1</v>
      </c>
    </row>
    <row r="12" spans="1:11" x14ac:dyDescent="0.25">
      <c r="A12" s="2" t="s">
        <v>1199</v>
      </c>
      <c r="B12" s="2" t="s">
        <v>1200</v>
      </c>
      <c r="C12" s="2" t="s">
        <v>161</v>
      </c>
      <c r="D12" s="2" t="s">
        <v>1201</v>
      </c>
      <c r="E12" s="2" t="s">
        <v>1163</v>
      </c>
      <c r="F12" s="11" t="s">
        <v>1175</v>
      </c>
      <c r="G12" s="2" t="s">
        <v>1202</v>
      </c>
      <c r="H12" s="2" t="s">
        <v>167</v>
      </c>
      <c r="I12" s="37" t="s">
        <v>184</v>
      </c>
      <c r="J12" s="2" t="str">
        <f t="shared" si="2"/>
        <v>INA293A2</v>
      </c>
      <c r="K12" s="2" t="str">
        <f t="shared" si="3"/>
        <v>INA293A2</v>
      </c>
    </row>
    <row r="13" spans="1:11" x14ac:dyDescent="0.25">
      <c r="A13" s="37" t="s">
        <v>1427</v>
      </c>
      <c r="B13" s="2" t="s">
        <v>1428</v>
      </c>
      <c r="C13" s="5" t="s">
        <v>204</v>
      </c>
      <c r="D13" s="37" t="s">
        <v>1251</v>
      </c>
      <c r="E13" s="37" t="s">
        <v>1429</v>
      </c>
      <c r="F13" s="11" t="s">
        <v>1197</v>
      </c>
      <c r="G13" s="37" t="s">
        <v>1427</v>
      </c>
      <c r="H13" s="5" t="s">
        <v>167</v>
      </c>
      <c r="I13" s="37" t="s">
        <v>1251</v>
      </c>
      <c r="J13" s="5" t="str">
        <f t="shared" si="2"/>
        <v>OPA4197</v>
      </c>
      <c r="K13" s="5" t="str">
        <f t="shared" si="3"/>
        <v>OPA4197</v>
      </c>
    </row>
  </sheetData>
  <conditionalFormatting sqref="I2:I12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7"/>
  <sheetViews>
    <sheetView showGridLines="0" topLeftCell="B19" workbookViewId="0">
      <selection activeCell="I40" sqref="I40"/>
    </sheetView>
  </sheetViews>
  <sheetFormatPr defaultRowHeight="15.75" x14ac:dyDescent="0.25"/>
  <cols>
    <col min="1" max="1" width="23" style="2" customWidth="1"/>
    <col min="2" max="2" width="85.75" style="2" customWidth="1"/>
    <col min="3" max="3" width="26.25" style="2" customWidth="1"/>
    <col min="4" max="4" width="42.5" style="2" customWidth="1"/>
    <col min="5" max="5" width="16.5" style="2" customWidth="1"/>
    <col min="6" max="6" width="32.625" style="2" customWidth="1"/>
    <col min="7" max="7" width="17.75" style="2" customWidth="1"/>
    <col min="8" max="8" width="20.25" style="2" customWidth="1"/>
    <col min="9" max="9" width="14.375" style="2" customWidth="1"/>
    <col min="10" max="11" width="19.75" style="2" customWidth="1"/>
    <col min="12" max="16384" width="9" style="2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8</v>
      </c>
      <c r="E1" s="11" t="s">
        <v>3</v>
      </c>
      <c r="F1" s="11" t="s">
        <v>9</v>
      </c>
      <c r="G1" s="11" t="s">
        <v>10</v>
      </c>
      <c r="H1" s="11" t="s">
        <v>156</v>
      </c>
      <c r="I1" s="11" t="s">
        <v>157</v>
      </c>
      <c r="J1" s="20" t="s">
        <v>15</v>
      </c>
      <c r="K1" s="24" t="s">
        <v>158</v>
      </c>
    </row>
    <row r="2" spans="1:11" x14ac:dyDescent="0.25">
      <c r="A2" s="2" t="s">
        <v>1209</v>
      </c>
      <c r="B2" s="2" t="s">
        <v>1210</v>
      </c>
      <c r="C2" s="2" t="s">
        <v>204</v>
      </c>
      <c r="D2" s="2" t="s">
        <v>1211</v>
      </c>
      <c r="E2" s="2" t="s">
        <v>1212</v>
      </c>
      <c r="F2" s="11" t="s">
        <v>1207</v>
      </c>
      <c r="G2" s="2" t="s">
        <v>1209</v>
      </c>
      <c r="H2" s="2" t="s">
        <v>167</v>
      </c>
      <c r="I2" s="7" t="s">
        <v>1212</v>
      </c>
      <c r="J2" s="2" t="str">
        <f>A2</f>
        <v>SN74AVC4T245RSVR</v>
      </c>
      <c r="K2" s="2" t="str">
        <f>J2</f>
        <v>SN74AVC4T245RSVR</v>
      </c>
    </row>
    <row r="3" spans="1:11" x14ac:dyDescent="0.25">
      <c r="A3" s="2" t="s">
        <v>1213</v>
      </c>
      <c r="B3" s="2" t="s">
        <v>1214</v>
      </c>
      <c r="C3" s="2" t="s">
        <v>204</v>
      </c>
      <c r="D3" s="2" t="s">
        <v>1211</v>
      </c>
      <c r="E3" s="2" t="s">
        <v>1215</v>
      </c>
      <c r="F3" s="11" t="s">
        <v>1207</v>
      </c>
      <c r="G3" s="2" t="s">
        <v>1213</v>
      </c>
      <c r="H3" s="2" t="s">
        <v>167</v>
      </c>
      <c r="I3" s="7" t="s">
        <v>1215</v>
      </c>
      <c r="J3" s="2" t="str">
        <f>A3</f>
        <v>SN74AVC2T245RSW</v>
      </c>
      <c r="K3" s="2" t="str">
        <f>J3</f>
        <v>SN74AVC2T245RSW</v>
      </c>
    </row>
    <row r="4" spans="1:11" x14ac:dyDescent="0.25">
      <c r="A4" s="2" t="s">
        <v>1343</v>
      </c>
      <c r="B4" t="s">
        <v>1256</v>
      </c>
      <c r="C4" s="2" t="s">
        <v>204</v>
      </c>
      <c r="D4" s="2" t="s">
        <v>1211</v>
      </c>
      <c r="E4" s="2" t="s">
        <v>1257</v>
      </c>
      <c r="F4" s="11" t="s">
        <v>1207</v>
      </c>
      <c r="G4" s="2" t="s">
        <v>1258</v>
      </c>
      <c r="H4" s="2" t="s">
        <v>167</v>
      </c>
      <c r="I4" s="5" t="s">
        <v>1257</v>
      </c>
      <c r="J4" s="2" t="str">
        <f>A4</f>
        <v>SN74LVC8T245RHL</v>
      </c>
      <c r="K4" s="2" t="str">
        <f>J4</f>
        <v>SN74LVC8T245RHL</v>
      </c>
    </row>
    <row r="5" spans="1:11" x14ac:dyDescent="0.25">
      <c r="A5" s="2" t="s">
        <v>1275</v>
      </c>
      <c r="B5" s="2" t="s">
        <v>1276</v>
      </c>
      <c r="C5" s="2" t="s">
        <v>204</v>
      </c>
      <c r="D5" s="2" t="s">
        <v>1211</v>
      </c>
      <c r="E5" s="2" t="s">
        <v>1212</v>
      </c>
      <c r="F5" s="11" t="s">
        <v>1207</v>
      </c>
      <c r="G5" s="2" t="s">
        <v>1277</v>
      </c>
      <c r="H5" s="2" t="s">
        <v>167</v>
      </c>
      <c r="I5" s="5" t="s">
        <v>1212</v>
      </c>
      <c r="J5" s="2" t="str">
        <f>A5</f>
        <v>SN74AXC4T774RSV</v>
      </c>
      <c r="K5" s="2" t="str">
        <f>J5</f>
        <v>SN74AXC4T774RSV</v>
      </c>
    </row>
    <row r="6" spans="1:11" x14ac:dyDescent="0.25">
      <c r="A6" s="2" t="s">
        <v>1216</v>
      </c>
      <c r="B6" s="2" t="s">
        <v>1217</v>
      </c>
      <c r="C6" s="2" t="s">
        <v>1218</v>
      </c>
      <c r="D6" s="2" t="s">
        <v>1219</v>
      </c>
      <c r="E6" s="2" t="s">
        <v>1220</v>
      </c>
      <c r="F6" s="11" t="s">
        <v>1207</v>
      </c>
      <c r="G6" s="2" t="s">
        <v>1216</v>
      </c>
      <c r="H6" s="2" t="s">
        <v>167</v>
      </c>
      <c r="I6" s="5" t="s">
        <v>1221</v>
      </c>
      <c r="J6" s="2" t="str">
        <f>A6</f>
        <v>FT4232HL</v>
      </c>
      <c r="K6" s="2" t="str">
        <f>J6</f>
        <v>FT4232HL</v>
      </c>
    </row>
    <row r="7" spans="1:11" x14ac:dyDescent="0.25">
      <c r="A7" s="2" t="s">
        <v>1231</v>
      </c>
      <c r="B7" s="5" t="s">
        <v>1232</v>
      </c>
      <c r="C7" s="2" t="s">
        <v>204</v>
      </c>
      <c r="D7" s="2" t="s">
        <v>1219</v>
      </c>
      <c r="E7" s="2" t="s">
        <v>1233</v>
      </c>
      <c r="F7" s="11" t="s">
        <v>1207</v>
      </c>
      <c r="G7" s="2" t="s">
        <v>1231</v>
      </c>
      <c r="H7" s="2" t="s">
        <v>167</v>
      </c>
      <c r="I7" s="5"/>
      <c r="J7" s="2" t="str">
        <f>A7</f>
        <v>DP83867ISRGZ</v>
      </c>
      <c r="K7" s="2" t="str">
        <f>J7</f>
        <v>DP83867ISRGZ</v>
      </c>
    </row>
    <row r="8" spans="1:11" x14ac:dyDescent="0.25">
      <c r="A8" s="2" t="s">
        <v>1234</v>
      </c>
      <c r="B8" s="2" t="s">
        <v>1235</v>
      </c>
      <c r="C8" s="2" t="s">
        <v>161</v>
      </c>
      <c r="D8" s="2" t="s">
        <v>1219</v>
      </c>
      <c r="E8" s="2" t="s">
        <v>1230</v>
      </c>
      <c r="F8" s="11" t="s">
        <v>1207</v>
      </c>
      <c r="G8" s="2" t="s">
        <v>1236</v>
      </c>
      <c r="H8" s="2" t="s">
        <v>167</v>
      </c>
      <c r="I8" s="7" t="s">
        <v>1230</v>
      </c>
      <c r="J8" s="2" t="str">
        <f>A8</f>
        <v>MAX3485CSA</v>
      </c>
      <c r="K8" s="2" t="str">
        <f>J8</f>
        <v>MAX3485CSA</v>
      </c>
    </row>
    <row r="9" spans="1:11" x14ac:dyDescent="0.25">
      <c r="A9" s="2" t="s">
        <v>1246</v>
      </c>
      <c r="B9" s="2" t="s">
        <v>1247</v>
      </c>
      <c r="C9" s="2" t="s">
        <v>204</v>
      </c>
      <c r="D9" s="2" t="s">
        <v>1219</v>
      </c>
      <c r="E9" s="2" t="s">
        <v>1201</v>
      </c>
      <c r="F9" s="11" t="s">
        <v>1207</v>
      </c>
      <c r="G9" s="2" t="s">
        <v>1248</v>
      </c>
      <c r="H9" s="2" t="s">
        <v>167</v>
      </c>
      <c r="I9" s="5" t="s">
        <v>184</v>
      </c>
      <c r="J9" s="2" t="str">
        <f>A9</f>
        <v>SN65LVDS1DBVR</v>
      </c>
      <c r="K9" s="2" t="str">
        <f>J9</f>
        <v>SN65LVDS1DBVR</v>
      </c>
    </row>
    <row r="10" spans="1:11" x14ac:dyDescent="0.25">
      <c r="A10" s="2" t="s">
        <v>1265</v>
      </c>
      <c r="B10" s="2" t="s">
        <v>1266</v>
      </c>
      <c r="C10" s="2" t="s">
        <v>204</v>
      </c>
      <c r="D10" s="2" t="s">
        <v>1219</v>
      </c>
      <c r="E10" s="2" t="s">
        <v>1201</v>
      </c>
      <c r="F10" s="11" t="s">
        <v>1207</v>
      </c>
      <c r="G10" s="2" t="s">
        <v>1248</v>
      </c>
      <c r="H10" s="2" t="s">
        <v>167</v>
      </c>
      <c r="I10" s="5" t="s">
        <v>184</v>
      </c>
      <c r="J10" s="2" t="str">
        <f>A10</f>
        <v>SN65LVDT2DBV</v>
      </c>
      <c r="K10" s="2" t="str">
        <f>J10</f>
        <v>SN65LVDT2DBV</v>
      </c>
    </row>
    <row r="11" spans="1:11" x14ac:dyDescent="0.25">
      <c r="A11" s="2" t="s">
        <v>1267</v>
      </c>
      <c r="B11" s="2" t="s">
        <v>1268</v>
      </c>
      <c r="C11" s="2" t="s">
        <v>204</v>
      </c>
      <c r="D11" s="2" t="s">
        <v>1219</v>
      </c>
      <c r="E11" s="2" t="s">
        <v>1215</v>
      </c>
      <c r="F11" s="11" t="s">
        <v>1207</v>
      </c>
      <c r="G11" s="2" t="s">
        <v>1269</v>
      </c>
      <c r="H11" s="2" t="s">
        <v>167</v>
      </c>
      <c r="I11" s="5" t="s">
        <v>1215</v>
      </c>
      <c r="J11" s="2" t="str">
        <f>A11</f>
        <v>SN65LVDS4RSE</v>
      </c>
      <c r="K11" s="2" t="str">
        <f>J11</f>
        <v>SN65LVDS4RSE</v>
      </c>
    </row>
    <row r="12" spans="1:11" x14ac:dyDescent="0.25">
      <c r="A12" s="2" t="s">
        <v>1286</v>
      </c>
      <c r="B12" s="2" t="s">
        <v>1287</v>
      </c>
      <c r="C12" s="2" t="s">
        <v>161</v>
      </c>
      <c r="D12" s="2" t="s">
        <v>1219</v>
      </c>
      <c r="E12" s="2" t="s">
        <v>1285</v>
      </c>
      <c r="F12" s="11" t="s">
        <v>1207</v>
      </c>
      <c r="G12" s="2" t="s">
        <v>1286</v>
      </c>
      <c r="H12" s="2" t="s">
        <v>167</v>
      </c>
      <c r="I12" s="5" t="s">
        <v>1285</v>
      </c>
      <c r="J12" s="2" t="str">
        <f>A12</f>
        <v>LTC2875HS8</v>
      </c>
      <c r="K12" s="2" t="str">
        <f>J12</f>
        <v>LTC2875HS8</v>
      </c>
    </row>
    <row r="13" spans="1:11" x14ac:dyDescent="0.25">
      <c r="A13" s="2" t="s">
        <v>1270</v>
      </c>
      <c r="B13" s="2" t="s">
        <v>1271</v>
      </c>
      <c r="C13" s="2" t="s">
        <v>161</v>
      </c>
      <c r="D13" s="2" t="s">
        <v>1272</v>
      </c>
      <c r="E13" s="2" t="s">
        <v>1273</v>
      </c>
      <c r="F13" s="11" t="s">
        <v>1207</v>
      </c>
      <c r="G13" s="2" t="s">
        <v>1274</v>
      </c>
      <c r="H13" s="2" t="s">
        <v>167</v>
      </c>
      <c r="I13" s="5" t="s">
        <v>1273</v>
      </c>
      <c r="J13" s="2" t="str">
        <f>A13</f>
        <v>AD9717BCPZ</v>
      </c>
      <c r="K13" s="2" t="str">
        <f>J13</f>
        <v>AD9717BCPZ</v>
      </c>
    </row>
    <row r="14" spans="1:11" x14ac:dyDescent="0.25">
      <c r="A14" s="2" t="s">
        <v>1278</v>
      </c>
      <c r="B14" s="2" t="s">
        <v>1279</v>
      </c>
      <c r="C14" s="2" t="s">
        <v>1280</v>
      </c>
      <c r="D14" s="2" t="s">
        <v>1281</v>
      </c>
      <c r="E14" s="2" t="s">
        <v>1206</v>
      </c>
      <c r="F14" s="11" t="s">
        <v>1207</v>
      </c>
      <c r="G14" s="2" t="s">
        <v>1278</v>
      </c>
      <c r="H14" s="2" t="s">
        <v>167</v>
      </c>
      <c r="I14" s="5" t="s">
        <v>1206</v>
      </c>
      <c r="J14" s="2" t="str">
        <f>A14</f>
        <v>ICM-20948</v>
      </c>
      <c r="K14" s="2" t="str">
        <f>J14</f>
        <v>ICM-20948</v>
      </c>
    </row>
    <row r="15" spans="1:11" x14ac:dyDescent="0.25">
      <c r="A15" s="2" t="s">
        <v>1113</v>
      </c>
      <c r="B15" s="2" t="s">
        <v>1288</v>
      </c>
      <c r="C15" s="2" t="s">
        <v>1115</v>
      </c>
      <c r="D15" s="2" t="s">
        <v>1281</v>
      </c>
      <c r="E15" s="2" t="s">
        <v>1116</v>
      </c>
      <c r="F15" s="11" t="s">
        <v>1207</v>
      </c>
      <c r="G15" s="2" t="s">
        <v>1289</v>
      </c>
      <c r="H15" s="2" t="s">
        <v>167</v>
      </c>
      <c r="I15" s="5" t="s">
        <v>1116</v>
      </c>
      <c r="J15" s="2" t="str">
        <f>A15</f>
        <v>LSM6DS3TR-C</v>
      </c>
      <c r="K15" s="2" t="str">
        <f>J15</f>
        <v>LSM6DS3TR-C</v>
      </c>
    </row>
    <row r="16" spans="1:11" x14ac:dyDescent="0.25">
      <c r="A16" s="2" t="s">
        <v>1290</v>
      </c>
      <c r="B16" s="5" t="s">
        <v>1291</v>
      </c>
      <c r="C16" s="2" t="s">
        <v>1115</v>
      </c>
      <c r="D16" s="2" t="s">
        <v>1281</v>
      </c>
      <c r="E16" s="2" t="s">
        <v>1292</v>
      </c>
      <c r="F16" s="11" t="s">
        <v>1207</v>
      </c>
      <c r="G16" s="2" t="s">
        <v>1290</v>
      </c>
      <c r="H16" s="2" t="s">
        <v>167</v>
      </c>
      <c r="I16" s="5" t="s">
        <v>1292</v>
      </c>
      <c r="J16" s="2" t="str">
        <f>A16</f>
        <v>LIS3MDL</v>
      </c>
      <c r="K16" s="2" t="str">
        <f>J16</f>
        <v>LIS3MDL</v>
      </c>
    </row>
    <row r="17" spans="1:11" x14ac:dyDescent="0.25">
      <c r="A17" s="2" t="s">
        <v>1237</v>
      </c>
      <c r="B17" s="2" t="s">
        <v>1238</v>
      </c>
      <c r="C17" s="2" t="s">
        <v>204</v>
      </c>
      <c r="D17" s="2" t="s">
        <v>1239</v>
      </c>
      <c r="E17" s="2" t="s">
        <v>1201</v>
      </c>
      <c r="F17" s="11" t="s">
        <v>1207</v>
      </c>
      <c r="G17" s="2" t="s">
        <v>1237</v>
      </c>
      <c r="H17" s="2" t="s">
        <v>167</v>
      </c>
      <c r="I17" s="5" t="s">
        <v>184</v>
      </c>
      <c r="J17" s="2" t="str">
        <f>A17</f>
        <v>SN74LVC1G14DBVT</v>
      </c>
      <c r="K17" s="2" t="str">
        <f>J17</f>
        <v>SN74LVC1G14DBVT</v>
      </c>
    </row>
    <row r="18" spans="1:11" x14ac:dyDescent="0.25">
      <c r="A18" s="2" t="s">
        <v>1240</v>
      </c>
      <c r="B18" s="2" t="s">
        <v>1241</v>
      </c>
      <c r="C18" s="2" t="s">
        <v>204</v>
      </c>
      <c r="D18" s="2" t="s">
        <v>1239</v>
      </c>
      <c r="E18" s="2" t="s">
        <v>1201</v>
      </c>
      <c r="F18" s="11" t="s">
        <v>1207</v>
      </c>
      <c r="G18" s="2" t="s">
        <v>1240</v>
      </c>
      <c r="H18" s="2" t="s">
        <v>167</v>
      </c>
      <c r="I18" s="5" t="s">
        <v>184</v>
      </c>
      <c r="J18" s="2" t="str">
        <f>A18</f>
        <v>SN74LVC1G17DBVT</v>
      </c>
      <c r="K18" s="2" t="str">
        <f>J18</f>
        <v>SN74LVC1G17DBVT</v>
      </c>
    </row>
    <row r="19" spans="1:11" x14ac:dyDescent="0.25">
      <c r="A19" s="2" t="s">
        <v>1249</v>
      </c>
      <c r="B19" s="2" t="s">
        <v>1250</v>
      </c>
      <c r="C19" s="2" t="s">
        <v>204</v>
      </c>
      <c r="D19" s="2" t="s">
        <v>1239</v>
      </c>
      <c r="E19" s="2" t="s">
        <v>1251</v>
      </c>
      <c r="F19" s="11" t="s">
        <v>1207</v>
      </c>
      <c r="G19" s="2" t="s">
        <v>1252</v>
      </c>
      <c r="H19" s="2" t="s">
        <v>167</v>
      </c>
      <c r="I19" s="5" t="s">
        <v>1251</v>
      </c>
      <c r="J19" s="2" t="str">
        <f>A19</f>
        <v>SN74ACT04PWR</v>
      </c>
      <c r="K19" s="2" t="str">
        <f>J19</f>
        <v>SN74ACT04PWR</v>
      </c>
    </row>
    <row r="20" spans="1:11" x14ac:dyDescent="0.25">
      <c r="A20" s="2" t="s">
        <v>1253</v>
      </c>
      <c r="B20" s="2" t="s">
        <v>1254</v>
      </c>
      <c r="C20" s="2" t="s">
        <v>204</v>
      </c>
      <c r="D20" s="2" t="s">
        <v>1239</v>
      </c>
      <c r="E20" s="2" t="s">
        <v>1251</v>
      </c>
      <c r="F20" s="11" t="s">
        <v>1207</v>
      </c>
      <c r="G20" s="2" t="s">
        <v>1255</v>
      </c>
      <c r="H20" s="2" t="s">
        <v>167</v>
      </c>
      <c r="I20" s="5" t="s">
        <v>1251</v>
      </c>
      <c r="J20" s="2" t="str">
        <f>A20</f>
        <v>SN74ACT17PWR</v>
      </c>
      <c r="K20" s="2" t="str">
        <f>J20</f>
        <v>SN74ACT17PWR</v>
      </c>
    </row>
    <row r="21" spans="1:11" x14ac:dyDescent="0.25">
      <c r="A21" s="2" t="s">
        <v>1259</v>
      </c>
      <c r="B21" s="2" t="s">
        <v>1260</v>
      </c>
      <c r="C21" s="2" t="s">
        <v>204</v>
      </c>
      <c r="D21" s="2" t="s">
        <v>1239</v>
      </c>
      <c r="E21" s="2" t="s">
        <v>1244</v>
      </c>
      <c r="F21" s="11" t="s">
        <v>1207</v>
      </c>
      <c r="G21" s="2" t="s">
        <v>1261</v>
      </c>
      <c r="H21" s="2" t="s">
        <v>167</v>
      </c>
      <c r="I21" s="5" t="s">
        <v>1244</v>
      </c>
      <c r="J21" s="2" t="str">
        <f>A21</f>
        <v>SN74LVC04ARGYR</v>
      </c>
      <c r="K21" s="2" t="str">
        <f>J21</f>
        <v>SN74LVC04ARGYR</v>
      </c>
    </row>
    <row r="22" spans="1:11" x14ac:dyDescent="0.25">
      <c r="A22" s="2" t="s">
        <v>1262</v>
      </c>
      <c r="B22" s="2" t="s">
        <v>1263</v>
      </c>
      <c r="C22" s="2" t="s">
        <v>204</v>
      </c>
      <c r="D22" s="2" t="s">
        <v>1239</v>
      </c>
      <c r="E22" s="2" t="s">
        <v>1264</v>
      </c>
      <c r="F22" s="11" t="s">
        <v>1207</v>
      </c>
      <c r="G22" s="2" t="s">
        <v>1262</v>
      </c>
      <c r="H22" s="2" t="s">
        <v>167</v>
      </c>
      <c r="I22" s="5" t="s">
        <v>1264</v>
      </c>
      <c r="J22" s="2" t="str">
        <f>A22</f>
        <v>SN74LVC1G04DSF2</v>
      </c>
      <c r="K22" s="2" t="str">
        <f>J22</f>
        <v>SN74LVC1G04DSF2</v>
      </c>
    </row>
    <row r="23" spans="1:11" x14ac:dyDescent="0.25">
      <c r="A23" s="37" t="s">
        <v>1420</v>
      </c>
      <c r="B23" s="37" t="s">
        <v>1421</v>
      </c>
      <c r="C23" s="37" t="s">
        <v>1422</v>
      </c>
      <c r="D23" s="2" t="s">
        <v>1239</v>
      </c>
      <c r="E23" s="2" t="s">
        <v>1423</v>
      </c>
      <c r="F23" s="11" t="s">
        <v>1207</v>
      </c>
      <c r="G23" s="2" t="s">
        <v>1420</v>
      </c>
      <c r="H23" s="2" t="s">
        <v>167</v>
      </c>
      <c r="I23" s="5" t="s">
        <v>1423</v>
      </c>
      <c r="J23" s="2" t="str">
        <f>A23</f>
        <v>74LVC1G08GV</v>
      </c>
      <c r="K23" s="2" t="str">
        <f>J23</f>
        <v>74LVC1G08GV</v>
      </c>
    </row>
    <row r="24" spans="1:11" x14ac:dyDescent="0.25">
      <c r="A24" s="37" t="s">
        <v>1439</v>
      </c>
      <c r="B24" s="2" t="s">
        <v>1440</v>
      </c>
      <c r="C24" s="2" t="s">
        <v>204</v>
      </c>
      <c r="D24" s="2" t="s">
        <v>1239</v>
      </c>
      <c r="E24" s="2" t="s">
        <v>1244</v>
      </c>
      <c r="F24" s="5" t="s">
        <v>1207</v>
      </c>
      <c r="G24" s="37" t="s">
        <v>1439</v>
      </c>
      <c r="H24" s="2" t="s">
        <v>167</v>
      </c>
      <c r="I24" s="5" t="s">
        <v>1244</v>
      </c>
      <c r="J24" s="2" t="str">
        <f>A24</f>
        <v>SN74LVC08ARGY</v>
      </c>
      <c r="K24" s="2" t="str">
        <f>J24</f>
        <v>SN74LVC08ARGY</v>
      </c>
    </row>
    <row r="25" spans="1:11" x14ac:dyDescent="0.25">
      <c r="A25" s="37" t="s">
        <v>1441</v>
      </c>
      <c r="B25" s="2" t="s">
        <v>1442</v>
      </c>
      <c r="C25" s="2" t="s">
        <v>204</v>
      </c>
      <c r="D25" s="2" t="s">
        <v>1239</v>
      </c>
      <c r="E25" s="2" t="s">
        <v>1244</v>
      </c>
      <c r="F25" s="5" t="s">
        <v>1207</v>
      </c>
      <c r="G25" s="37" t="s">
        <v>1441</v>
      </c>
      <c r="H25" s="2" t="s">
        <v>167</v>
      </c>
      <c r="I25" s="5" t="s">
        <v>1244</v>
      </c>
      <c r="J25" s="2" t="str">
        <f>A25</f>
        <v>SN74LVC00ARGY</v>
      </c>
      <c r="K25" s="2" t="str">
        <f>J25</f>
        <v>SN74LVC00ARGY</v>
      </c>
    </row>
    <row r="26" spans="1:11" x14ac:dyDescent="0.25">
      <c r="A26" s="37" t="s">
        <v>1444</v>
      </c>
      <c r="B26" s="2" t="s">
        <v>1443</v>
      </c>
      <c r="C26" s="2" t="s">
        <v>204</v>
      </c>
      <c r="D26" s="2" t="s">
        <v>1239</v>
      </c>
      <c r="E26" s="2" t="s">
        <v>1244</v>
      </c>
      <c r="F26" s="5" t="s">
        <v>1207</v>
      </c>
      <c r="G26" s="37" t="s">
        <v>1444</v>
      </c>
      <c r="H26" s="2" t="s">
        <v>167</v>
      </c>
      <c r="I26" s="5" t="s">
        <v>1244</v>
      </c>
      <c r="J26" s="2" t="str">
        <f>A26</f>
        <v>SN74LVC32ARGY</v>
      </c>
      <c r="K26" s="2" t="str">
        <f>J26</f>
        <v>SN74LVC32ARGY</v>
      </c>
    </row>
    <row r="27" spans="1:11" x14ac:dyDescent="0.25">
      <c r="A27" s="2" t="s">
        <v>1226</v>
      </c>
      <c r="B27" s="3" t="s">
        <v>1227</v>
      </c>
      <c r="C27" s="2" t="s">
        <v>1228</v>
      </c>
      <c r="D27" s="2" t="s">
        <v>1229</v>
      </c>
      <c r="E27" s="2" t="s">
        <v>1230</v>
      </c>
      <c r="F27" s="11" t="s">
        <v>1207</v>
      </c>
      <c r="G27" s="2" t="s">
        <v>1226</v>
      </c>
      <c r="H27" s="2" t="s">
        <v>167</v>
      </c>
      <c r="I27" s="7" t="s">
        <v>1230</v>
      </c>
      <c r="J27" s="2" t="str">
        <f>A27</f>
        <v>93LC56BT/SN</v>
      </c>
      <c r="K27" s="2" t="str">
        <f>J27</f>
        <v>93LC56BT/SN</v>
      </c>
    </row>
    <row r="28" spans="1:11" x14ac:dyDescent="0.25">
      <c r="A28" s="5" t="s">
        <v>1282</v>
      </c>
      <c r="B28" s="2" t="s">
        <v>1283</v>
      </c>
      <c r="C28" s="5" t="s">
        <v>1284</v>
      </c>
      <c r="D28" s="5" t="s">
        <v>1229</v>
      </c>
      <c r="E28" s="5" t="s">
        <v>1285</v>
      </c>
      <c r="F28" s="11" t="s">
        <v>1207</v>
      </c>
      <c r="G28" s="2" t="s">
        <v>1282</v>
      </c>
      <c r="H28" s="5" t="s">
        <v>167</v>
      </c>
      <c r="I28" s="5" t="s">
        <v>1285</v>
      </c>
      <c r="J28" s="5" t="str">
        <f>A28</f>
        <v>MX25L12833FM2I-10G</v>
      </c>
      <c r="K28" s="5" t="str">
        <f>J28</f>
        <v>MX25L12833FM2I-10G</v>
      </c>
    </row>
    <row r="29" spans="1:11" x14ac:dyDescent="0.25">
      <c r="A29" s="37" t="s">
        <v>1350</v>
      </c>
      <c r="B29" s="2" t="s">
        <v>1351</v>
      </c>
      <c r="C29" s="37" t="s">
        <v>1228</v>
      </c>
      <c r="D29" s="5" t="s">
        <v>1452</v>
      </c>
      <c r="E29" s="37" t="s">
        <v>1352</v>
      </c>
      <c r="F29" s="11" t="s">
        <v>1207</v>
      </c>
      <c r="G29" s="2" t="s">
        <v>1353</v>
      </c>
      <c r="H29" s="5" t="s">
        <v>167</v>
      </c>
      <c r="I29" s="37" t="s">
        <v>1352</v>
      </c>
      <c r="J29" s="5" t="str">
        <f>A29</f>
        <v>TC4428AEUA</v>
      </c>
      <c r="K29" s="5" t="str">
        <f>J29</f>
        <v>TC4428AEUA</v>
      </c>
    </row>
    <row r="30" spans="1:11" x14ac:dyDescent="0.25">
      <c r="A30" s="37" t="s">
        <v>1370</v>
      </c>
      <c r="B30" s="5" t="s">
        <v>1368</v>
      </c>
      <c r="C30" s="5" t="s">
        <v>204</v>
      </c>
      <c r="D30" s="5" t="s">
        <v>1452</v>
      </c>
      <c r="E30" s="37" t="s">
        <v>1369</v>
      </c>
      <c r="F30" s="11" t="s">
        <v>1207</v>
      </c>
      <c r="G30" s="2" t="s">
        <v>1367</v>
      </c>
      <c r="H30" s="2" t="s">
        <v>167</v>
      </c>
      <c r="I30" s="37" t="s">
        <v>1369</v>
      </c>
      <c r="J30" s="5" t="str">
        <f>A30</f>
        <v>TMUX6219RQX</v>
      </c>
      <c r="K30" s="5" t="str">
        <f>J30</f>
        <v>TMUX6219RQX</v>
      </c>
    </row>
    <row r="31" spans="1:11" x14ac:dyDescent="0.25">
      <c r="A31" s="37" t="s">
        <v>1424</v>
      </c>
      <c r="B31" s="2" t="s">
        <v>1425</v>
      </c>
      <c r="C31" s="2" t="s">
        <v>204</v>
      </c>
      <c r="D31" s="5" t="s">
        <v>1452</v>
      </c>
      <c r="E31" s="2" t="s">
        <v>1120</v>
      </c>
      <c r="F31" s="2" t="s">
        <v>1207</v>
      </c>
      <c r="G31" s="2" t="s">
        <v>1424</v>
      </c>
      <c r="H31" s="2" t="s">
        <v>167</v>
      </c>
      <c r="I31" s="37" t="s">
        <v>1426</v>
      </c>
      <c r="J31" s="5" t="str">
        <f>A31</f>
        <v>TMUX4157N</v>
      </c>
      <c r="K31" s="5" t="str">
        <f>J31</f>
        <v>TMUX4157N</v>
      </c>
    </row>
    <row r="32" spans="1:11" x14ac:dyDescent="0.25">
      <c r="A32" s="5" t="s">
        <v>1449</v>
      </c>
      <c r="B32" s="2" t="s">
        <v>1450</v>
      </c>
      <c r="C32" s="5" t="s">
        <v>204</v>
      </c>
      <c r="D32" s="5" t="s">
        <v>1452</v>
      </c>
      <c r="E32" s="2" t="s">
        <v>1451</v>
      </c>
      <c r="F32" s="5" t="s">
        <v>1207</v>
      </c>
      <c r="G32" s="5" t="s">
        <v>1449</v>
      </c>
      <c r="H32" s="2" t="s">
        <v>167</v>
      </c>
      <c r="I32" s="2" t="s">
        <v>1451</v>
      </c>
      <c r="J32" s="5" t="str">
        <f>A32</f>
        <v>TMUX4053BQB</v>
      </c>
      <c r="K32" s="5" t="str">
        <f>J32</f>
        <v>TMUX4053BQB</v>
      </c>
    </row>
    <row r="33" spans="1:11" x14ac:dyDescent="0.25">
      <c r="A33" s="5" t="s">
        <v>1203</v>
      </c>
      <c r="B33" s="2" t="s">
        <v>1204</v>
      </c>
      <c r="C33" s="2" t="s">
        <v>204</v>
      </c>
      <c r="D33" s="2" t="s">
        <v>1205</v>
      </c>
      <c r="E33" s="5" t="s">
        <v>1206</v>
      </c>
      <c r="F33" s="11" t="s">
        <v>1207</v>
      </c>
      <c r="G33" s="5" t="s">
        <v>1208</v>
      </c>
      <c r="H33" s="5" t="s">
        <v>167</v>
      </c>
      <c r="I33" s="7" t="s">
        <v>1206</v>
      </c>
      <c r="J33" s="5" t="str">
        <f>A33</f>
        <v>TXS02612RTWR</v>
      </c>
      <c r="K33" s="5" t="str">
        <f>J33</f>
        <v>TXS02612RTWR</v>
      </c>
    </row>
    <row r="34" spans="1:11" s="5" customFormat="1" x14ac:dyDescent="0.25">
      <c r="A34" s="5" t="s">
        <v>1222</v>
      </c>
      <c r="B34" s="5" t="s">
        <v>1223</v>
      </c>
      <c r="C34" s="5" t="s">
        <v>204</v>
      </c>
      <c r="D34" s="5" t="s">
        <v>1205</v>
      </c>
      <c r="E34" s="5" t="s">
        <v>1224</v>
      </c>
      <c r="F34" s="11" t="s">
        <v>1207</v>
      </c>
      <c r="G34" s="5" t="s">
        <v>1225</v>
      </c>
      <c r="H34" s="5" t="s">
        <v>167</v>
      </c>
      <c r="I34" s="5" t="s">
        <v>1224</v>
      </c>
      <c r="J34" s="5" t="str">
        <f>A34</f>
        <v>TXS0108EPW</v>
      </c>
      <c r="K34" s="5" t="str">
        <f>J34</f>
        <v>TXS0108EPW</v>
      </c>
    </row>
    <row r="35" spans="1:11" x14ac:dyDescent="0.25">
      <c r="A35" s="2" t="s">
        <v>1242</v>
      </c>
      <c r="B35" s="2" t="s">
        <v>1243</v>
      </c>
      <c r="C35" s="2" t="s">
        <v>204</v>
      </c>
      <c r="D35" s="5" t="s">
        <v>1205</v>
      </c>
      <c r="E35" s="2" t="s">
        <v>1244</v>
      </c>
      <c r="F35" s="11" t="s">
        <v>1207</v>
      </c>
      <c r="G35" s="5" t="s">
        <v>1245</v>
      </c>
      <c r="H35" s="5" t="s">
        <v>167</v>
      </c>
      <c r="I35" s="5" t="s">
        <v>1244</v>
      </c>
      <c r="J35" s="5" t="str">
        <f>A35</f>
        <v>TXS0104ERGYR</v>
      </c>
      <c r="K35" s="5" t="str">
        <f>J35</f>
        <v>TXS0104ERGYR</v>
      </c>
    </row>
    <row r="36" spans="1:11" x14ac:dyDescent="0.25">
      <c r="A36" s="2" t="s">
        <v>1453</v>
      </c>
      <c r="B36" s="2" t="s">
        <v>1454</v>
      </c>
      <c r="C36" s="2" t="s">
        <v>204</v>
      </c>
      <c r="D36" s="2" t="s">
        <v>1452</v>
      </c>
      <c r="E36" s="2" t="s">
        <v>301</v>
      </c>
      <c r="F36" s="11" t="s">
        <v>1207</v>
      </c>
      <c r="G36" s="5" t="s">
        <v>1453</v>
      </c>
      <c r="H36" s="5" t="s">
        <v>167</v>
      </c>
      <c r="I36" s="37" t="s">
        <v>301</v>
      </c>
      <c r="J36" s="5" t="str">
        <f>A36</f>
        <v>TMUX7234RRQ</v>
      </c>
      <c r="K36" s="5" t="str">
        <f>J36</f>
        <v>TMUX7234RRQ</v>
      </c>
    </row>
    <row r="37" spans="1:11" x14ac:dyDescent="0.25">
      <c r="A37" s="37" t="s">
        <v>1459</v>
      </c>
      <c r="B37" s="2" t="s">
        <v>1458</v>
      </c>
      <c r="C37" s="5" t="s">
        <v>204</v>
      </c>
      <c r="D37" s="5" t="s">
        <v>1239</v>
      </c>
      <c r="E37" s="37" t="s">
        <v>1120</v>
      </c>
      <c r="F37" s="11" t="s">
        <v>1207</v>
      </c>
      <c r="G37" s="5" t="s">
        <v>1459</v>
      </c>
      <c r="H37" s="5" t="s">
        <v>167</v>
      </c>
      <c r="I37" s="37" t="s">
        <v>1457</v>
      </c>
      <c r="J37" s="5" t="str">
        <f>A37</f>
        <v>SN74LVC1G02DCK</v>
      </c>
      <c r="K37" s="5" t="str">
        <f>J37</f>
        <v>SN74LVC1G02DCK</v>
      </c>
    </row>
  </sheetData>
  <phoneticPr fontId="15" type="noConversion"/>
  <conditionalFormatting sqref="I2:I27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2"/>
  <sheetViews>
    <sheetView showGridLines="0" topLeftCell="A55" workbookViewId="0">
      <selection activeCell="E88" sqref="E88"/>
    </sheetView>
  </sheetViews>
  <sheetFormatPr defaultColWidth="11" defaultRowHeight="15.75" x14ac:dyDescent="0.25"/>
  <cols>
    <col min="1" max="1" width="24" style="11" customWidth="1"/>
    <col min="2" max="2" width="68.625" style="11" customWidth="1"/>
    <col min="3" max="3" width="20.375" style="11" customWidth="1"/>
    <col min="4" max="4" width="12.625" style="11" customWidth="1"/>
    <col min="5" max="5" width="40.75" style="11" customWidth="1"/>
    <col min="6" max="6" width="71.25" style="11" customWidth="1"/>
    <col min="7" max="7" width="18.375" style="11" customWidth="1"/>
    <col min="8" max="9" width="21.75" style="2" customWidth="1"/>
    <col min="10" max="10" width="20.125" style="2" customWidth="1"/>
    <col min="11" max="11" width="25.125" style="2" customWidth="1"/>
    <col min="12" max="12" width="11" style="2"/>
    <col min="13" max="13" width="8.75" style="2" customWidth="1"/>
    <col min="14" max="16384" width="11" style="2"/>
  </cols>
  <sheetData>
    <row r="1" spans="1:1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8</v>
      </c>
      <c r="F1" s="11" t="s">
        <v>9</v>
      </c>
      <c r="G1" s="11" t="s">
        <v>10</v>
      </c>
      <c r="H1" s="11" t="s">
        <v>156</v>
      </c>
      <c r="I1" s="11" t="s">
        <v>157</v>
      </c>
      <c r="J1" s="20" t="s">
        <v>15</v>
      </c>
      <c r="K1" s="24" t="s">
        <v>158</v>
      </c>
      <c r="L1" s="24"/>
    </row>
    <row r="2" spans="1:14" x14ac:dyDescent="0.25">
      <c r="A2" s="11" t="s">
        <v>730</v>
      </c>
      <c r="B2" s="11" t="s">
        <v>731</v>
      </c>
      <c r="C2" s="11" t="s">
        <v>732</v>
      </c>
      <c r="D2" s="2" t="s">
        <v>733</v>
      </c>
      <c r="E2" s="2" t="s">
        <v>734</v>
      </c>
      <c r="F2" s="11" t="s">
        <v>735</v>
      </c>
      <c r="G2" s="11" t="s">
        <v>730</v>
      </c>
      <c r="H2" s="11" t="s">
        <v>167</v>
      </c>
      <c r="I2" s="2" t="s">
        <v>733</v>
      </c>
      <c r="J2" s="11" t="str">
        <f t="shared" ref="J2:J33" si="0">A2</f>
        <v>AVA-183A+</v>
      </c>
      <c r="K2" s="2" t="str">
        <f t="shared" ref="K2:K33" si="1">J2</f>
        <v>AVA-183A+</v>
      </c>
    </row>
    <row r="3" spans="1:14" x14ac:dyDescent="0.25">
      <c r="A3" s="11" t="s">
        <v>736</v>
      </c>
      <c r="B3" s="11" t="s">
        <v>731</v>
      </c>
      <c r="C3" s="11" t="s">
        <v>732</v>
      </c>
      <c r="D3" s="2" t="s">
        <v>737</v>
      </c>
      <c r="E3" s="2" t="s">
        <v>734</v>
      </c>
      <c r="F3" s="11" t="s">
        <v>735</v>
      </c>
      <c r="G3" s="11" t="s">
        <v>736</v>
      </c>
      <c r="H3" s="11" t="s">
        <v>167</v>
      </c>
      <c r="I3" s="11" t="s">
        <v>737</v>
      </c>
      <c r="J3" s="11" t="str">
        <f t="shared" si="0"/>
        <v>AVA-183P+</v>
      </c>
      <c r="K3" s="2" t="str">
        <f t="shared" si="1"/>
        <v>AVA-183P+</v>
      </c>
    </row>
    <row r="4" spans="1:14" x14ac:dyDescent="0.25">
      <c r="A4" s="11" t="s">
        <v>738</v>
      </c>
      <c r="B4" s="11" t="s">
        <v>739</v>
      </c>
      <c r="C4" s="11" t="s">
        <v>732</v>
      </c>
      <c r="D4" s="11" t="s">
        <v>740</v>
      </c>
      <c r="E4" s="2" t="s">
        <v>734</v>
      </c>
      <c r="F4" s="11" t="s">
        <v>735</v>
      </c>
      <c r="G4" s="11" t="s">
        <v>738</v>
      </c>
      <c r="H4" s="11" t="s">
        <v>167</v>
      </c>
      <c r="I4" s="11" t="s">
        <v>740</v>
      </c>
      <c r="J4" s="11" t="str">
        <f t="shared" si="0"/>
        <v>AVA-6183MPS+</v>
      </c>
      <c r="K4" s="2" t="str">
        <f t="shared" si="1"/>
        <v>AVA-6183MPS+</v>
      </c>
    </row>
    <row r="5" spans="1:14" x14ac:dyDescent="0.25">
      <c r="A5" s="11" t="s">
        <v>741</v>
      </c>
      <c r="B5" s="11" t="s">
        <v>742</v>
      </c>
      <c r="C5" s="2" t="s">
        <v>743</v>
      </c>
      <c r="D5" s="2" t="s">
        <v>744</v>
      </c>
      <c r="E5" s="2" t="s">
        <v>734</v>
      </c>
      <c r="F5" s="11" t="s">
        <v>745</v>
      </c>
      <c r="G5" s="2" t="s">
        <v>741</v>
      </c>
      <c r="H5" s="11" t="s">
        <v>167</v>
      </c>
      <c r="I5" s="11" t="s">
        <v>746</v>
      </c>
      <c r="J5" s="11" t="str">
        <f t="shared" si="0"/>
        <v>CWDT8005</v>
      </c>
      <c r="K5" s="2" t="str">
        <f t="shared" si="1"/>
        <v>CWDT8005</v>
      </c>
    </row>
    <row r="6" spans="1:14" x14ac:dyDescent="0.25">
      <c r="A6" s="2" t="s">
        <v>747</v>
      </c>
      <c r="B6" s="2" t="s">
        <v>748</v>
      </c>
      <c r="C6" s="11" t="s">
        <v>749</v>
      </c>
      <c r="E6" s="2" t="s">
        <v>734</v>
      </c>
      <c r="F6" s="11" t="s">
        <v>735</v>
      </c>
      <c r="G6" s="11" t="s">
        <v>750</v>
      </c>
      <c r="H6" s="11" t="s">
        <v>167</v>
      </c>
      <c r="I6" s="11" t="s">
        <v>747</v>
      </c>
      <c r="J6" s="11" t="str">
        <f t="shared" si="0"/>
        <v>CWNPA-2735-P40-M</v>
      </c>
      <c r="K6" s="2" t="str">
        <f t="shared" si="1"/>
        <v>CWNPA-2735-P40-M</v>
      </c>
    </row>
    <row r="7" spans="1:14" x14ac:dyDescent="0.25">
      <c r="A7" s="2" t="s">
        <v>751</v>
      </c>
      <c r="B7" s="2" t="s">
        <v>752</v>
      </c>
      <c r="C7" s="11" t="s">
        <v>753</v>
      </c>
      <c r="D7" s="11" t="s">
        <v>754</v>
      </c>
      <c r="E7" s="2" t="s">
        <v>734</v>
      </c>
      <c r="F7" s="11" t="s">
        <v>735</v>
      </c>
      <c r="G7" s="11" t="s">
        <v>751</v>
      </c>
      <c r="H7" s="11" t="s">
        <v>167</v>
      </c>
      <c r="I7" s="11" t="s">
        <v>755</v>
      </c>
      <c r="J7" s="11" t="str">
        <f t="shared" si="0"/>
        <v>CWS13101</v>
      </c>
      <c r="K7" s="2" t="str">
        <f t="shared" si="1"/>
        <v>CWS13101</v>
      </c>
    </row>
    <row r="8" spans="1:14" x14ac:dyDescent="0.25">
      <c r="A8" s="2" t="s">
        <v>756</v>
      </c>
      <c r="B8" s="2" t="s">
        <v>757</v>
      </c>
      <c r="C8" s="11" t="s">
        <v>753</v>
      </c>
      <c r="D8" s="11" t="s">
        <v>754</v>
      </c>
      <c r="E8" s="2" t="s">
        <v>734</v>
      </c>
      <c r="F8" s="11" t="s">
        <v>735</v>
      </c>
      <c r="G8" s="11" t="s">
        <v>756</v>
      </c>
      <c r="H8" s="11" t="s">
        <v>167</v>
      </c>
      <c r="I8" s="11" t="s">
        <v>755</v>
      </c>
      <c r="J8" s="11" t="str">
        <f t="shared" si="0"/>
        <v>CWS13102</v>
      </c>
      <c r="K8" s="2" t="str">
        <f t="shared" si="1"/>
        <v>CWS13102</v>
      </c>
    </row>
    <row r="9" spans="1:14" x14ac:dyDescent="0.25">
      <c r="A9" s="2" t="s">
        <v>758</v>
      </c>
      <c r="B9" s="11" t="s">
        <v>759</v>
      </c>
      <c r="C9" s="11" t="s">
        <v>732</v>
      </c>
      <c r="D9" s="2" t="s">
        <v>760</v>
      </c>
      <c r="E9" s="2" t="s">
        <v>734</v>
      </c>
      <c r="F9" s="11" t="s">
        <v>735</v>
      </c>
      <c r="G9" s="11" t="s">
        <v>758</v>
      </c>
      <c r="H9" s="11" t="s">
        <v>167</v>
      </c>
      <c r="I9" s="11" t="s">
        <v>761</v>
      </c>
      <c r="J9" s="11" t="str">
        <f t="shared" si="0"/>
        <v>GVA-93+</v>
      </c>
      <c r="K9" s="2" t="str">
        <f t="shared" si="1"/>
        <v>GVA-93+</v>
      </c>
    </row>
    <row r="10" spans="1:14" x14ac:dyDescent="0.25">
      <c r="A10" s="2" t="s">
        <v>762</v>
      </c>
      <c r="B10" s="2" t="s">
        <v>763</v>
      </c>
      <c r="C10" s="11" t="s">
        <v>161</v>
      </c>
      <c r="D10" s="2" t="s">
        <v>188</v>
      </c>
      <c r="E10" s="2" t="s">
        <v>734</v>
      </c>
      <c r="F10" s="11" t="s">
        <v>735</v>
      </c>
      <c r="G10" s="11" t="s">
        <v>762</v>
      </c>
      <c r="H10" s="11" t="s">
        <v>167</v>
      </c>
      <c r="I10" s="11"/>
      <c r="J10" s="11" t="str">
        <f t="shared" si="0"/>
        <v>HMC451LP3</v>
      </c>
      <c r="K10" s="2" t="str">
        <f t="shared" si="1"/>
        <v>HMC451LP3</v>
      </c>
    </row>
    <row r="11" spans="1:14" s="11" customFormat="1" x14ac:dyDescent="0.25">
      <c r="A11" s="11" t="s">
        <v>764</v>
      </c>
      <c r="B11" s="2" t="s">
        <v>765</v>
      </c>
      <c r="C11" s="11" t="s">
        <v>766</v>
      </c>
      <c r="D11" s="11" t="s">
        <v>767</v>
      </c>
      <c r="E11" s="2" t="s">
        <v>734</v>
      </c>
      <c r="F11" s="11" t="s">
        <v>745</v>
      </c>
      <c r="G11" s="11" t="s">
        <v>764</v>
      </c>
      <c r="H11" s="11" t="s">
        <v>167</v>
      </c>
      <c r="I11" s="11" t="s">
        <v>768</v>
      </c>
      <c r="J11" s="11" t="str">
        <f t="shared" si="0"/>
        <v>IPA-0206B-CQ5B</v>
      </c>
      <c r="K11" s="2" t="str">
        <f t="shared" si="1"/>
        <v>IPA-0206B-CQ5B</v>
      </c>
      <c r="M11" s="2"/>
      <c r="N11" s="2"/>
    </row>
    <row r="12" spans="1:14" x14ac:dyDescent="0.25">
      <c r="A12" s="2" t="s">
        <v>769</v>
      </c>
      <c r="B12" s="11" t="s">
        <v>770</v>
      </c>
      <c r="C12" s="11" t="s">
        <v>732</v>
      </c>
      <c r="D12" s="30" t="s">
        <v>771</v>
      </c>
      <c r="E12" s="2" t="s">
        <v>734</v>
      </c>
      <c r="F12" s="11" t="s">
        <v>735</v>
      </c>
      <c r="G12" s="11" t="s">
        <v>769</v>
      </c>
      <c r="H12" s="11" t="s">
        <v>167</v>
      </c>
      <c r="I12" s="2" t="s">
        <v>771</v>
      </c>
      <c r="J12" s="11" t="str">
        <f t="shared" si="0"/>
        <v>LHA-1+</v>
      </c>
      <c r="K12" s="2" t="str">
        <f t="shared" si="1"/>
        <v>LHA-1+</v>
      </c>
    </row>
    <row r="13" spans="1:14" x14ac:dyDescent="0.25">
      <c r="A13" s="11" t="s">
        <v>772</v>
      </c>
      <c r="B13" s="11" t="s">
        <v>773</v>
      </c>
      <c r="C13" s="11" t="s">
        <v>732</v>
      </c>
      <c r="D13" s="11" t="s">
        <v>774</v>
      </c>
      <c r="E13" s="2" t="s">
        <v>734</v>
      </c>
      <c r="F13" s="11" t="s">
        <v>735</v>
      </c>
      <c r="G13" s="11" t="s">
        <v>772</v>
      </c>
      <c r="H13" s="11" t="s">
        <v>167</v>
      </c>
      <c r="I13" s="11" t="s">
        <v>774</v>
      </c>
      <c r="J13" s="11" t="str">
        <f t="shared" si="0"/>
        <v>PMA2-183LN+</v>
      </c>
      <c r="K13" s="2" t="str">
        <f t="shared" si="1"/>
        <v>PMA2-183LN+</v>
      </c>
    </row>
    <row r="14" spans="1:14" x14ac:dyDescent="0.25">
      <c r="A14" s="11" t="s">
        <v>775</v>
      </c>
      <c r="B14" s="2" t="s">
        <v>776</v>
      </c>
      <c r="C14" s="11" t="s">
        <v>732</v>
      </c>
      <c r="D14" s="2" t="s">
        <v>737</v>
      </c>
      <c r="E14" s="2" t="s">
        <v>734</v>
      </c>
      <c r="F14" s="11" t="s">
        <v>735</v>
      </c>
      <c r="G14" s="11" t="s">
        <v>775</v>
      </c>
      <c r="H14" s="11" t="s">
        <v>167</v>
      </c>
      <c r="I14" s="11" t="s">
        <v>737</v>
      </c>
      <c r="J14" s="11" t="str">
        <f t="shared" si="0"/>
        <v>PMA3-83LN+</v>
      </c>
      <c r="K14" s="2" t="str">
        <f t="shared" si="1"/>
        <v>PMA3-83LN+</v>
      </c>
    </row>
    <row r="15" spans="1:14" x14ac:dyDescent="0.25">
      <c r="A15" s="11" t="s">
        <v>777</v>
      </c>
      <c r="B15" s="11" t="s">
        <v>778</v>
      </c>
      <c r="C15" s="11" t="s">
        <v>1338</v>
      </c>
      <c r="D15" s="2" t="s">
        <v>245</v>
      </c>
      <c r="E15" s="2" t="s">
        <v>734</v>
      </c>
      <c r="F15" s="11" t="s">
        <v>735</v>
      </c>
      <c r="G15" s="11" t="s">
        <v>777</v>
      </c>
      <c r="H15" s="11" t="s">
        <v>167</v>
      </c>
      <c r="I15" s="11" t="s">
        <v>779</v>
      </c>
      <c r="J15" s="11" t="str">
        <f t="shared" si="0"/>
        <v>QPA1008</v>
      </c>
      <c r="K15" s="2" t="str">
        <f t="shared" si="1"/>
        <v>QPA1008</v>
      </c>
    </row>
    <row r="16" spans="1:14" x14ac:dyDescent="0.25">
      <c r="A16" s="11" t="s">
        <v>780</v>
      </c>
      <c r="B16" s="11" t="s">
        <v>781</v>
      </c>
      <c r="C16" s="11" t="s">
        <v>1338</v>
      </c>
      <c r="D16" s="11" t="s">
        <v>238</v>
      </c>
      <c r="E16" s="2" t="s">
        <v>734</v>
      </c>
      <c r="F16" s="11" t="s">
        <v>735</v>
      </c>
      <c r="G16" s="11" t="s">
        <v>780</v>
      </c>
      <c r="H16" s="11" t="s">
        <v>167</v>
      </c>
      <c r="I16" s="11" t="s">
        <v>782</v>
      </c>
      <c r="J16" s="11" t="str">
        <f t="shared" si="0"/>
        <v>TQL9092</v>
      </c>
      <c r="K16" s="2" t="str">
        <f t="shared" si="1"/>
        <v>TQL9092</v>
      </c>
    </row>
    <row r="17" spans="1:11" x14ac:dyDescent="0.25">
      <c r="A17" s="2" t="s">
        <v>783</v>
      </c>
      <c r="B17" s="2" t="s">
        <v>784</v>
      </c>
      <c r="C17" s="11" t="s">
        <v>732</v>
      </c>
      <c r="D17" s="2" t="s">
        <v>785</v>
      </c>
      <c r="E17" s="2" t="s">
        <v>734</v>
      </c>
      <c r="F17" s="11" t="s">
        <v>735</v>
      </c>
      <c r="G17" s="2" t="s">
        <v>783</v>
      </c>
      <c r="H17" s="11" t="s">
        <v>167</v>
      </c>
      <c r="I17" s="2" t="s">
        <v>786</v>
      </c>
      <c r="J17" s="11" t="str">
        <f t="shared" si="0"/>
        <v>TSY-173LN+</v>
      </c>
      <c r="K17" s="2" t="str">
        <f t="shared" si="1"/>
        <v>TSY-173LN+</v>
      </c>
    </row>
    <row r="18" spans="1:11" x14ac:dyDescent="0.25">
      <c r="A18" s="2" t="s">
        <v>787</v>
      </c>
      <c r="B18" s="2" t="s">
        <v>788</v>
      </c>
      <c r="C18" s="11" t="s">
        <v>732</v>
      </c>
      <c r="D18" s="2" t="s">
        <v>737</v>
      </c>
      <c r="E18" s="2" t="s">
        <v>734</v>
      </c>
      <c r="F18" s="11" t="s">
        <v>735</v>
      </c>
      <c r="G18" s="2" t="s">
        <v>787</v>
      </c>
      <c r="H18" s="11" t="s">
        <v>167</v>
      </c>
      <c r="I18" s="11" t="s">
        <v>789</v>
      </c>
      <c r="J18" s="11" t="str">
        <f t="shared" si="0"/>
        <v>TSY-83LN+</v>
      </c>
      <c r="K18" s="2" t="str">
        <f t="shared" si="1"/>
        <v>TSY-83LN+</v>
      </c>
    </row>
    <row r="19" spans="1:11" x14ac:dyDescent="0.25">
      <c r="A19" s="11" t="s">
        <v>790</v>
      </c>
      <c r="B19" s="11" t="s">
        <v>791</v>
      </c>
      <c r="C19" s="11" t="s">
        <v>732</v>
      </c>
      <c r="D19" s="11" t="s">
        <v>733</v>
      </c>
      <c r="E19" s="2" t="s">
        <v>734</v>
      </c>
      <c r="F19" s="11" t="s">
        <v>735</v>
      </c>
      <c r="G19" s="11" t="s">
        <v>790</v>
      </c>
      <c r="H19" s="11" t="s">
        <v>167</v>
      </c>
      <c r="I19" s="11" t="s">
        <v>733</v>
      </c>
      <c r="J19" s="11" t="str">
        <f t="shared" si="0"/>
        <v>MNA-4A+</v>
      </c>
      <c r="K19" s="2" t="str">
        <f t="shared" si="1"/>
        <v>MNA-4A+</v>
      </c>
    </row>
    <row r="20" spans="1:11" x14ac:dyDescent="0.25">
      <c r="A20" s="11" t="s">
        <v>792</v>
      </c>
      <c r="B20" s="11" t="s">
        <v>793</v>
      </c>
      <c r="C20" s="11" t="s">
        <v>732</v>
      </c>
      <c r="D20" s="11" t="s">
        <v>737</v>
      </c>
      <c r="E20" s="11" t="s">
        <v>734</v>
      </c>
      <c r="F20" s="11" t="s">
        <v>735</v>
      </c>
      <c r="G20" s="11" t="s">
        <v>792</v>
      </c>
      <c r="H20" s="11" t="s">
        <v>167</v>
      </c>
      <c r="I20" s="11" t="s">
        <v>737</v>
      </c>
      <c r="J20" s="11" t="str">
        <f t="shared" si="0"/>
        <v>PVGA-123+</v>
      </c>
      <c r="K20" s="2" t="str">
        <f t="shared" si="1"/>
        <v>PVGA-123+</v>
      </c>
    </row>
    <row r="21" spans="1:11" x14ac:dyDescent="0.25">
      <c r="A21" s="11" t="s">
        <v>794</v>
      </c>
      <c r="B21" s="11" t="s">
        <v>795</v>
      </c>
      <c r="C21" s="11" t="s">
        <v>732</v>
      </c>
      <c r="D21" s="11" t="s">
        <v>796</v>
      </c>
      <c r="E21" s="11" t="s">
        <v>734</v>
      </c>
      <c r="F21" s="11" t="s">
        <v>735</v>
      </c>
      <c r="G21" s="11" t="s">
        <v>794</v>
      </c>
      <c r="H21" s="11" t="s">
        <v>167</v>
      </c>
      <c r="I21" s="2" t="s">
        <v>796</v>
      </c>
      <c r="J21" s="11" t="str">
        <f t="shared" si="0"/>
        <v>PMA3-5123+</v>
      </c>
      <c r="K21" s="2" t="str">
        <f t="shared" si="1"/>
        <v>PMA3-5123+</v>
      </c>
    </row>
    <row r="22" spans="1:11" x14ac:dyDescent="0.25">
      <c r="A22" s="11" t="s">
        <v>797</v>
      </c>
      <c r="B22" s="11" t="s">
        <v>798</v>
      </c>
      <c r="C22" s="11" t="s">
        <v>732</v>
      </c>
      <c r="D22" s="11" t="s">
        <v>799</v>
      </c>
      <c r="E22" s="11" t="s">
        <v>734</v>
      </c>
      <c r="F22" s="11" t="s">
        <v>735</v>
      </c>
      <c r="G22" s="11" t="s">
        <v>797</v>
      </c>
      <c r="H22" s="11" t="s">
        <v>167</v>
      </c>
      <c r="I22" s="2" t="s">
        <v>799</v>
      </c>
      <c r="J22" s="11" t="str">
        <f t="shared" si="0"/>
        <v>PSA-14+</v>
      </c>
      <c r="K22" s="2" t="str">
        <f t="shared" si="1"/>
        <v>PSA-14+</v>
      </c>
    </row>
    <row r="23" spans="1:11" x14ac:dyDescent="0.25">
      <c r="A23" s="11" t="s">
        <v>800</v>
      </c>
      <c r="B23" s="11" t="s">
        <v>801</v>
      </c>
      <c r="C23" s="11" t="s">
        <v>161</v>
      </c>
      <c r="D23" s="11" t="s">
        <v>802</v>
      </c>
      <c r="E23" s="11" t="s">
        <v>734</v>
      </c>
      <c r="F23" s="11" t="s">
        <v>735</v>
      </c>
      <c r="G23" s="11" t="s">
        <v>800</v>
      </c>
      <c r="H23" s="11" t="s">
        <v>167</v>
      </c>
      <c r="I23" s="11" t="s">
        <v>802</v>
      </c>
      <c r="J23" s="11" t="str">
        <f t="shared" si="0"/>
        <v>ADPA1120</v>
      </c>
      <c r="K23" s="2" t="str">
        <f t="shared" si="1"/>
        <v>ADPA1120</v>
      </c>
    </row>
    <row r="24" spans="1:11" x14ac:dyDescent="0.25">
      <c r="A24" s="11" t="s">
        <v>803</v>
      </c>
      <c r="B24" s="2" t="s">
        <v>804</v>
      </c>
      <c r="C24" s="11" t="s">
        <v>732</v>
      </c>
      <c r="D24" s="2" t="s">
        <v>786</v>
      </c>
      <c r="E24" s="2" t="s">
        <v>805</v>
      </c>
      <c r="F24" s="11" t="s">
        <v>806</v>
      </c>
      <c r="G24" s="11" t="s">
        <v>807</v>
      </c>
      <c r="H24" s="11" t="s">
        <v>167</v>
      </c>
      <c r="I24" s="2" t="s">
        <v>786</v>
      </c>
      <c r="J24" s="11" t="str">
        <f t="shared" si="0"/>
        <v>YAT-0A+</v>
      </c>
      <c r="K24" s="2" t="str">
        <f t="shared" si="1"/>
        <v>YAT-0A+</v>
      </c>
    </row>
    <row r="25" spans="1:11" x14ac:dyDescent="0.25">
      <c r="A25" s="11" t="s">
        <v>808</v>
      </c>
      <c r="B25" s="2" t="s">
        <v>804</v>
      </c>
      <c r="C25" s="11" t="s">
        <v>732</v>
      </c>
      <c r="D25" s="2" t="s">
        <v>786</v>
      </c>
      <c r="E25" s="2" t="s">
        <v>805</v>
      </c>
      <c r="F25" s="11" t="s">
        <v>806</v>
      </c>
      <c r="G25" s="11" t="s">
        <v>807</v>
      </c>
      <c r="H25" s="11" t="s">
        <v>167</v>
      </c>
      <c r="I25" s="2" t="s">
        <v>786</v>
      </c>
      <c r="J25" s="11" t="str">
        <f t="shared" si="0"/>
        <v>YAT-10A+</v>
      </c>
      <c r="K25" s="2" t="str">
        <f t="shared" si="1"/>
        <v>YAT-10A+</v>
      </c>
    </row>
    <row r="26" spans="1:11" x14ac:dyDescent="0.25">
      <c r="A26" s="11" t="s">
        <v>809</v>
      </c>
      <c r="B26" s="2" t="s">
        <v>804</v>
      </c>
      <c r="C26" s="11" t="s">
        <v>732</v>
      </c>
      <c r="D26" s="2" t="s">
        <v>786</v>
      </c>
      <c r="E26" s="2" t="s">
        <v>805</v>
      </c>
      <c r="F26" s="11" t="s">
        <v>806</v>
      </c>
      <c r="G26" s="11" t="s">
        <v>807</v>
      </c>
      <c r="H26" s="11" t="s">
        <v>167</v>
      </c>
      <c r="I26" s="2" t="s">
        <v>786</v>
      </c>
      <c r="J26" s="11" t="str">
        <f t="shared" si="0"/>
        <v>YAT-3A+</v>
      </c>
      <c r="K26" s="2" t="str">
        <f t="shared" si="1"/>
        <v>YAT-3A+</v>
      </c>
    </row>
    <row r="27" spans="1:11" x14ac:dyDescent="0.25">
      <c r="A27" s="11" t="s">
        <v>810</v>
      </c>
      <c r="B27" s="2" t="s">
        <v>804</v>
      </c>
      <c r="C27" s="11" t="s">
        <v>732</v>
      </c>
      <c r="D27" s="2" t="s">
        <v>786</v>
      </c>
      <c r="E27" s="2" t="s">
        <v>805</v>
      </c>
      <c r="F27" s="11" t="s">
        <v>806</v>
      </c>
      <c r="G27" s="11" t="s">
        <v>807</v>
      </c>
      <c r="H27" s="11" t="s">
        <v>167</v>
      </c>
      <c r="I27" s="2" t="s">
        <v>786</v>
      </c>
      <c r="J27" s="11" t="str">
        <f t="shared" si="0"/>
        <v>YAT-6A+</v>
      </c>
      <c r="K27" s="2" t="str">
        <f t="shared" si="1"/>
        <v>YAT-6A+</v>
      </c>
    </row>
    <row r="28" spans="1:11" x14ac:dyDescent="0.25">
      <c r="A28" s="11" t="s">
        <v>811</v>
      </c>
      <c r="B28" s="2" t="s">
        <v>804</v>
      </c>
      <c r="C28" s="11" t="s">
        <v>732</v>
      </c>
      <c r="D28" s="2" t="s">
        <v>786</v>
      </c>
      <c r="E28" s="2" t="s">
        <v>805</v>
      </c>
      <c r="F28" s="11" t="s">
        <v>806</v>
      </c>
      <c r="G28" s="11" t="s">
        <v>807</v>
      </c>
      <c r="H28" s="11" t="s">
        <v>167</v>
      </c>
      <c r="I28" s="2" t="s">
        <v>786</v>
      </c>
      <c r="J28" s="11" t="str">
        <f t="shared" si="0"/>
        <v>YAT-30A+</v>
      </c>
      <c r="K28" s="2" t="str">
        <f t="shared" si="1"/>
        <v>YAT-30A+</v>
      </c>
    </row>
    <row r="29" spans="1:11" x14ac:dyDescent="0.25">
      <c r="A29" s="2" t="s">
        <v>812</v>
      </c>
      <c r="B29" s="2" t="s">
        <v>813</v>
      </c>
      <c r="C29" s="11" t="s">
        <v>814</v>
      </c>
      <c r="D29" s="2" t="s">
        <v>815</v>
      </c>
      <c r="E29" s="2" t="s">
        <v>816</v>
      </c>
      <c r="F29" s="11" t="s">
        <v>817</v>
      </c>
      <c r="G29" s="2" t="s">
        <v>812</v>
      </c>
      <c r="H29" s="11" t="s">
        <v>167</v>
      </c>
      <c r="I29" s="2" t="s">
        <v>815</v>
      </c>
      <c r="J29" s="11" t="str">
        <f t="shared" si="0"/>
        <v>TRHJ-2041</v>
      </c>
      <c r="K29" s="2" t="str">
        <f t="shared" si="1"/>
        <v>TRHJ-2041</v>
      </c>
    </row>
    <row r="30" spans="1:11" x14ac:dyDescent="0.25">
      <c r="A30" s="2" t="s">
        <v>818</v>
      </c>
      <c r="B30" s="2" t="s">
        <v>819</v>
      </c>
      <c r="C30" s="11" t="s">
        <v>814</v>
      </c>
      <c r="D30" s="2" t="s">
        <v>820</v>
      </c>
      <c r="E30" s="2" t="s">
        <v>816</v>
      </c>
      <c r="F30" s="11" t="s">
        <v>817</v>
      </c>
      <c r="G30" s="2" t="s">
        <v>818</v>
      </c>
      <c r="H30" s="11" t="s">
        <v>167</v>
      </c>
      <c r="I30" s="2" t="s">
        <v>818</v>
      </c>
      <c r="J30" s="11" t="str">
        <f t="shared" si="0"/>
        <v>TRHJ-4061</v>
      </c>
      <c r="K30" s="2" t="str">
        <f t="shared" si="1"/>
        <v>TRHJ-4061</v>
      </c>
    </row>
    <row r="31" spans="1:11" x14ac:dyDescent="0.25">
      <c r="A31" s="11" t="s">
        <v>1339</v>
      </c>
      <c r="B31" s="2" t="s">
        <v>821</v>
      </c>
      <c r="C31" s="2" t="s">
        <v>822</v>
      </c>
      <c r="D31" s="26">
        <v>1008</v>
      </c>
      <c r="E31" s="2" t="s">
        <v>823</v>
      </c>
      <c r="F31" s="11" t="s">
        <v>824</v>
      </c>
      <c r="G31" s="11" t="s">
        <v>825</v>
      </c>
      <c r="H31" s="11" t="s">
        <v>167</v>
      </c>
      <c r="I31" s="11" t="s">
        <v>825</v>
      </c>
      <c r="J31" s="11" t="str">
        <f t="shared" si="0"/>
        <v>3350BP39A0500001E</v>
      </c>
      <c r="K31" s="2" t="str">
        <f t="shared" si="1"/>
        <v>3350BP39A0500001E</v>
      </c>
    </row>
    <row r="32" spans="1:11" x14ac:dyDescent="0.25">
      <c r="A32" s="11" t="s">
        <v>826</v>
      </c>
      <c r="B32" s="11" t="s">
        <v>827</v>
      </c>
      <c r="C32" s="11" t="s">
        <v>732</v>
      </c>
      <c r="D32" s="11" t="s">
        <v>828</v>
      </c>
      <c r="E32" s="2" t="s">
        <v>823</v>
      </c>
      <c r="F32" s="11" t="s">
        <v>824</v>
      </c>
      <c r="G32" s="11" t="s">
        <v>829</v>
      </c>
      <c r="H32" s="11" t="s">
        <v>167</v>
      </c>
      <c r="I32" s="2" t="s">
        <v>828</v>
      </c>
      <c r="J32" s="11" t="str">
        <f t="shared" si="0"/>
        <v>BFCN-3700+</v>
      </c>
      <c r="K32" s="2" t="str">
        <f t="shared" si="1"/>
        <v>BFCN-3700+</v>
      </c>
    </row>
    <row r="33" spans="1:11" x14ac:dyDescent="0.25">
      <c r="A33" s="11" t="s">
        <v>830</v>
      </c>
      <c r="B33" s="2" t="s">
        <v>831</v>
      </c>
      <c r="C33" s="11" t="s">
        <v>732</v>
      </c>
      <c r="D33" s="2" t="s">
        <v>832</v>
      </c>
      <c r="E33" s="2" t="s">
        <v>823</v>
      </c>
      <c r="F33" s="11" t="s">
        <v>824</v>
      </c>
      <c r="G33" s="11" t="s">
        <v>829</v>
      </c>
      <c r="H33" s="11" t="s">
        <v>167</v>
      </c>
      <c r="I33" s="11" t="s">
        <v>832</v>
      </c>
      <c r="J33" s="11" t="str">
        <f t="shared" si="0"/>
        <v>BFCW-542+</v>
      </c>
      <c r="K33" s="2" t="str">
        <f t="shared" si="1"/>
        <v>BFCW-542+</v>
      </c>
    </row>
    <row r="34" spans="1:11" x14ac:dyDescent="0.25">
      <c r="A34" s="11" t="s">
        <v>833</v>
      </c>
      <c r="B34" s="11" t="s">
        <v>834</v>
      </c>
      <c r="C34" s="11" t="s">
        <v>732</v>
      </c>
      <c r="D34" s="11" t="s">
        <v>835</v>
      </c>
      <c r="E34" s="2" t="s">
        <v>823</v>
      </c>
      <c r="F34" s="11" t="s">
        <v>824</v>
      </c>
      <c r="G34" s="11" t="s">
        <v>836</v>
      </c>
      <c r="H34" s="11" t="s">
        <v>167</v>
      </c>
      <c r="I34" s="2" t="s">
        <v>835</v>
      </c>
      <c r="J34" s="11" t="str">
        <f t="shared" ref="J34:J65" si="2">A34</f>
        <v>BFHKI-9901+</v>
      </c>
      <c r="K34" s="2" t="str">
        <f t="shared" ref="K34:K65" si="3">J34</f>
        <v>BFHKI-9901+</v>
      </c>
    </row>
    <row r="35" spans="1:11" x14ac:dyDescent="0.25">
      <c r="A35" s="2" t="s">
        <v>837</v>
      </c>
      <c r="B35" s="11" t="s">
        <v>838</v>
      </c>
      <c r="C35" s="11" t="s">
        <v>732</v>
      </c>
      <c r="D35" s="2" t="s">
        <v>839</v>
      </c>
      <c r="E35" s="2" t="s">
        <v>823</v>
      </c>
      <c r="F35" s="11" t="s">
        <v>824</v>
      </c>
      <c r="G35" s="11" t="s">
        <v>840</v>
      </c>
      <c r="H35" s="11" t="s">
        <v>167</v>
      </c>
      <c r="I35" s="2" t="s">
        <v>839</v>
      </c>
      <c r="J35" s="11" t="str">
        <f t="shared" si="2"/>
        <v>HFCN-7150+</v>
      </c>
      <c r="K35" s="2" t="str">
        <f t="shared" si="3"/>
        <v>HFCN-7150+</v>
      </c>
    </row>
    <row r="36" spans="1:11" x14ac:dyDescent="0.25">
      <c r="A36" s="11" t="s">
        <v>841</v>
      </c>
      <c r="B36" s="11" t="s">
        <v>842</v>
      </c>
      <c r="C36" s="11" t="s">
        <v>732</v>
      </c>
      <c r="D36" s="2" t="s">
        <v>843</v>
      </c>
      <c r="E36" s="2" t="s">
        <v>823</v>
      </c>
      <c r="F36" s="11" t="s">
        <v>824</v>
      </c>
      <c r="G36" s="11" t="s">
        <v>840</v>
      </c>
      <c r="H36" s="11" t="s">
        <v>167</v>
      </c>
      <c r="I36" s="7" t="s">
        <v>843</v>
      </c>
      <c r="J36" s="11" t="str">
        <f t="shared" si="2"/>
        <v>HFCW-1132+</v>
      </c>
      <c r="K36" s="2" t="str">
        <f t="shared" si="3"/>
        <v>HFCW-1132+</v>
      </c>
    </row>
    <row r="37" spans="1:11" x14ac:dyDescent="0.25">
      <c r="A37" s="2" t="s">
        <v>844</v>
      </c>
      <c r="B37" s="11" t="s">
        <v>845</v>
      </c>
      <c r="C37" s="11" t="s">
        <v>732</v>
      </c>
      <c r="D37" s="2" t="s">
        <v>843</v>
      </c>
      <c r="E37" s="2" t="s">
        <v>823</v>
      </c>
      <c r="F37" s="11" t="s">
        <v>824</v>
      </c>
      <c r="G37" s="11" t="s">
        <v>840</v>
      </c>
      <c r="H37" s="11" t="s">
        <v>167</v>
      </c>
      <c r="I37" s="7" t="s">
        <v>843</v>
      </c>
      <c r="J37" s="11" t="str">
        <f t="shared" si="2"/>
        <v>HFCW-9500+</v>
      </c>
      <c r="K37" s="2" t="str">
        <f t="shared" si="3"/>
        <v>HFCW-9500+</v>
      </c>
    </row>
    <row r="38" spans="1:11" x14ac:dyDescent="0.25">
      <c r="A38" s="11" t="s">
        <v>846</v>
      </c>
      <c r="B38" s="2" t="s">
        <v>847</v>
      </c>
      <c r="C38" s="11" t="s">
        <v>732</v>
      </c>
      <c r="D38" s="2" t="s">
        <v>848</v>
      </c>
      <c r="E38" s="2" t="s">
        <v>823</v>
      </c>
      <c r="F38" s="11" t="s">
        <v>824</v>
      </c>
      <c r="G38" s="11" t="s">
        <v>849</v>
      </c>
      <c r="H38" s="11" t="s">
        <v>167</v>
      </c>
      <c r="I38" s="11" t="s">
        <v>848</v>
      </c>
      <c r="J38" s="11" t="str">
        <f t="shared" si="2"/>
        <v>LFCG-2000+</v>
      </c>
      <c r="K38" s="2" t="str">
        <f t="shared" si="3"/>
        <v>LFCG-2000+</v>
      </c>
    </row>
    <row r="39" spans="1:11" x14ac:dyDescent="0.25">
      <c r="A39" s="11" t="s">
        <v>850</v>
      </c>
      <c r="B39" s="15"/>
      <c r="C39" s="11" t="s">
        <v>732</v>
      </c>
      <c r="D39" s="2" t="s">
        <v>851</v>
      </c>
      <c r="E39" s="2" t="s">
        <v>823</v>
      </c>
      <c r="F39" s="11" t="s">
        <v>824</v>
      </c>
      <c r="G39" s="11" t="s">
        <v>829</v>
      </c>
      <c r="H39" s="11" t="s">
        <v>167</v>
      </c>
      <c r="I39" s="2" t="s">
        <v>851</v>
      </c>
      <c r="J39" s="11" t="str">
        <f t="shared" si="2"/>
        <v>LFCN-1500D+</v>
      </c>
      <c r="K39" s="2" t="str">
        <f t="shared" si="3"/>
        <v>LFCN-1500D+</v>
      </c>
    </row>
    <row r="40" spans="1:11" x14ac:dyDescent="0.25">
      <c r="A40" s="2" t="s">
        <v>852</v>
      </c>
      <c r="B40" s="11" t="s">
        <v>853</v>
      </c>
      <c r="C40" s="11" t="s">
        <v>732</v>
      </c>
      <c r="D40" s="2" t="s">
        <v>851</v>
      </c>
      <c r="E40" s="2" t="s">
        <v>823</v>
      </c>
      <c r="F40" s="11" t="s">
        <v>824</v>
      </c>
      <c r="G40" s="11" t="s">
        <v>829</v>
      </c>
      <c r="H40" s="11" t="s">
        <v>167</v>
      </c>
      <c r="I40" s="2" t="s">
        <v>851</v>
      </c>
      <c r="J40" s="11" t="str">
        <f t="shared" si="2"/>
        <v>LFCN-5500D+</v>
      </c>
      <c r="K40" s="2" t="str">
        <f t="shared" si="3"/>
        <v>LFCN-5500D+</v>
      </c>
    </row>
    <row r="41" spans="1:11" x14ac:dyDescent="0.25">
      <c r="A41" s="11" t="s">
        <v>1340</v>
      </c>
      <c r="B41" s="2" t="s">
        <v>854</v>
      </c>
      <c r="C41" s="11" t="s">
        <v>732</v>
      </c>
      <c r="D41" s="2" t="s">
        <v>832</v>
      </c>
      <c r="E41" s="2" t="s">
        <v>823</v>
      </c>
      <c r="F41" s="11" t="s">
        <v>824</v>
      </c>
      <c r="G41" s="11" t="s">
        <v>829</v>
      </c>
      <c r="H41" s="11" t="s">
        <v>167</v>
      </c>
      <c r="I41" s="2" t="s">
        <v>832</v>
      </c>
      <c r="J41" s="11" t="str">
        <f t="shared" si="2"/>
        <v>LFCW-8700+</v>
      </c>
      <c r="K41" s="2" t="str">
        <f t="shared" si="3"/>
        <v>LFCW-8700+</v>
      </c>
    </row>
    <row r="42" spans="1:11" x14ac:dyDescent="0.25">
      <c r="A42" s="2" t="s">
        <v>855</v>
      </c>
      <c r="B42" s="11" t="s">
        <v>856</v>
      </c>
      <c r="C42" s="11" t="s">
        <v>732</v>
      </c>
      <c r="D42" s="2" t="s">
        <v>851</v>
      </c>
      <c r="E42" s="2" t="s">
        <v>823</v>
      </c>
      <c r="F42" s="11" t="s">
        <v>824</v>
      </c>
      <c r="G42" s="11" t="s">
        <v>829</v>
      </c>
      <c r="H42" s="11" t="s">
        <v>167</v>
      </c>
      <c r="I42" s="2" t="s">
        <v>851</v>
      </c>
      <c r="J42" s="11" t="str">
        <f t="shared" si="2"/>
        <v>LFCN-3000+</v>
      </c>
      <c r="K42" s="2" t="str">
        <f t="shared" si="3"/>
        <v>LFCN-3000+</v>
      </c>
    </row>
    <row r="43" spans="1:11" x14ac:dyDescent="0.25">
      <c r="A43" s="2" t="s">
        <v>857</v>
      </c>
      <c r="B43" s="11" t="s">
        <v>858</v>
      </c>
      <c r="C43" s="11" t="s">
        <v>732</v>
      </c>
      <c r="D43" s="2" t="s">
        <v>839</v>
      </c>
      <c r="E43" s="2" t="s">
        <v>823</v>
      </c>
      <c r="F43" s="11" t="s">
        <v>824</v>
      </c>
      <c r="G43" s="11" t="s">
        <v>840</v>
      </c>
      <c r="H43" s="11" t="s">
        <v>167</v>
      </c>
      <c r="I43" s="2" t="s">
        <v>839</v>
      </c>
      <c r="J43" s="11" t="str">
        <f t="shared" si="2"/>
        <v>HFCN-2700AD+</v>
      </c>
      <c r="K43" s="2" t="str">
        <f t="shared" si="3"/>
        <v>HFCN-2700AD+</v>
      </c>
    </row>
    <row r="44" spans="1:11" x14ac:dyDescent="0.25">
      <c r="A44" s="11" t="s">
        <v>859</v>
      </c>
      <c r="B44" s="11" t="s">
        <v>860</v>
      </c>
      <c r="C44" s="11" t="s">
        <v>732</v>
      </c>
      <c r="D44" s="11" t="s">
        <v>737</v>
      </c>
      <c r="E44" s="2" t="s">
        <v>823</v>
      </c>
      <c r="F44" s="11" t="s">
        <v>824</v>
      </c>
      <c r="G44" s="11" t="s">
        <v>861</v>
      </c>
      <c r="H44" s="11" t="s">
        <v>167</v>
      </c>
      <c r="I44" s="11" t="s">
        <v>737</v>
      </c>
      <c r="J44" s="11" t="str">
        <f t="shared" si="2"/>
        <v>XLF-662M+</v>
      </c>
      <c r="K44" s="2" t="str">
        <f t="shared" si="3"/>
        <v>XLF-662M+</v>
      </c>
    </row>
    <row r="45" spans="1:11" x14ac:dyDescent="0.25">
      <c r="A45" s="11" t="s">
        <v>862</v>
      </c>
      <c r="B45" s="11" t="s">
        <v>863</v>
      </c>
      <c r="C45" s="11" t="s">
        <v>732</v>
      </c>
      <c r="D45" s="11" t="s">
        <v>737</v>
      </c>
      <c r="E45" s="2" t="s">
        <v>823</v>
      </c>
      <c r="F45" s="11" t="s">
        <v>824</v>
      </c>
      <c r="G45" s="11" t="s">
        <v>864</v>
      </c>
      <c r="H45" s="11" t="s">
        <v>167</v>
      </c>
      <c r="I45" s="11" t="s">
        <v>737</v>
      </c>
      <c r="J45" s="11" t="str">
        <f t="shared" si="2"/>
        <v>XHF-63M+</v>
      </c>
      <c r="K45" s="2" t="str">
        <f t="shared" si="3"/>
        <v>XHF-63M+</v>
      </c>
    </row>
    <row r="46" spans="1:11" x14ac:dyDescent="0.25">
      <c r="A46" s="11" t="s">
        <v>865</v>
      </c>
      <c r="B46" s="11" t="s">
        <v>866</v>
      </c>
      <c r="C46" s="11" t="s">
        <v>732</v>
      </c>
      <c r="D46" s="11" t="s">
        <v>737</v>
      </c>
      <c r="E46" s="2" t="s">
        <v>823</v>
      </c>
      <c r="F46" s="11" t="s">
        <v>824</v>
      </c>
      <c r="G46" s="11" t="s">
        <v>864</v>
      </c>
      <c r="H46" s="11" t="s">
        <v>167</v>
      </c>
      <c r="I46" s="11" t="s">
        <v>737</v>
      </c>
      <c r="J46" s="11" t="str">
        <f t="shared" si="2"/>
        <v>XHF-73M+</v>
      </c>
      <c r="K46" s="2" t="str">
        <f t="shared" si="3"/>
        <v>XHF-73M+</v>
      </c>
    </row>
    <row r="47" spans="1:11" x14ac:dyDescent="0.25">
      <c r="A47" s="11" t="s">
        <v>867</v>
      </c>
      <c r="B47" s="11" t="s">
        <v>868</v>
      </c>
      <c r="C47" s="11" t="s">
        <v>732</v>
      </c>
      <c r="D47" s="11" t="s">
        <v>869</v>
      </c>
      <c r="E47" s="2" t="s">
        <v>823</v>
      </c>
      <c r="F47" s="11" t="s">
        <v>824</v>
      </c>
      <c r="G47" s="11" t="s">
        <v>870</v>
      </c>
      <c r="H47" s="11" t="s">
        <v>167</v>
      </c>
      <c r="I47" s="11" t="s">
        <v>869</v>
      </c>
      <c r="J47" s="11" t="str">
        <f t="shared" si="2"/>
        <v>XLF-132H+</v>
      </c>
      <c r="K47" s="2" t="str">
        <f t="shared" si="3"/>
        <v>XLF-132H+</v>
      </c>
    </row>
    <row r="48" spans="1:11" x14ac:dyDescent="0.25">
      <c r="A48" s="11" t="s">
        <v>871</v>
      </c>
      <c r="B48" s="11" t="s">
        <v>872</v>
      </c>
      <c r="C48" s="11" t="s">
        <v>873</v>
      </c>
      <c r="D48" s="11" t="s">
        <v>874</v>
      </c>
      <c r="E48" s="2" t="s">
        <v>823</v>
      </c>
      <c r="F48" s="11" t="s">
        <v>824</v>
      </c>
      <c r="G48" s="11" t="s">
        <v>871</v>
      </c>
      <c r="H48" s="11" t="s">
        <v>167</v>
      </c>
      <c r="I48" s="11" t="s">
        <v>871</v>
      </c>
      <c r="J48" s="11" t="str">
        <f t="shared" si="2"/>
        <v>TA0332A</v>
      </c>
      <c r="K48" s="2" t="str">
        <f t="shared" si="3"/>
        <v>TA0332A</v>
      </c>
    </row>
    <row r="49" spans="1:11" x14ac:dyDescent="0.25">
      <c r="A49" s="11" t="s">
        <v>875</v>
      </c>
      <c r="B49" s="11" t="s">
        <v>876</v>
      </c>
      <c r="C49" s="11" t="s">
        <v>732</v>
      </c>
      <c r="D49" s="11" t="s">
        <v>835</v>
      </c>
      <c r="E49" s="11" t="s">
        <v>823</v>
      </c>
      <c r="F49" s="11" t="s">
        <v>824</v>
      </c>
      <c r="G49" s="11" t="s">
        <v>836</v>
      </c>
      <c r="H49" s="11" t="s">
        <v>167</v>
      </c>
      <c r="I49" s="2" t="s">
        <v>835</v>
      </c>
      <c r="J49" s="11" t="str">
        <f t="shared" si="2"/>
        <v>BFHKI-8501+</v>
      </c>
      <c r="K49" s="2" t="str">
        <f t="shared" si="3"/>
        <v>BFHKI-8501+</v>
      </c>
    </row>
    <row r="50" spans="1:11" x14ac:dyDescent="0.25">
      <c r="A50" s="11" t="s">
        <v>877</v>
      </c>
      <c r="B50" s="11" t="s">
        <v>878</v>
      </c>
      <c r="C50" s="11" t="s">
        <v>879</v>
      </c>
      <c r="D50" s="11" t="s">
        <v>880</v>
      </c>
      <c r="E50" s="11" t="s">
        <v>823</v>
      </c>
      <c r="F50" s="11" t="s">
        <v>824</v>
      </c>
      <c r="G50" s="11" t="s">
        <v>836</v>
      </c>
      <c r="H50" s="11" t="s">
        <v>167</v>
      </c>
      <c r="I50" s="11" t="s">
        <v>880</v>
      </c>
      <c r="J50" s="11" t="str">
        <f t="shared" si="2"/>
        <v>B070MB6S</v>
      </c>
      <c r="K50" s="2" t="str">
        <f t="shared" si="3"/>
        <v>B070MB6S</v>
      </c>
    </row>
    <row r="51" spans="1:11" x14ac:dyDescent="0.25">
      <c r="A51" s="11" t="s">
        <v>881</v>
      </c>
      <c r="B51" s="11" t="s">
        <v>882</v>
      </c>
      <c r="C51" s="11" t="s">
        <v>161</v>
      </c>
      <c r="D51" s="11" t="s">
        <v>883</v>
      </c>
      <c r="E51" s="2" t="s">
        <v>884</v>
      </c>
      <c r="F51" s="11" t="s">
        <v>885</v>
      </c>
      <c r="G51" s="2" t="s">
        <v>886</v>
      </c>
      <c r="H51" s="11" t="s">
        <v>167</v>
      </c>
      <c r="I51" s="2" t="s">
        <v>887</v>
      </c>
      <c r="J51" s="11" t="str">
        <f t="shared" si="2"/>
        <v>ADMV1013ACCZ</v>
      </c>
      <c r="K51" s="2" t="str">
        <f t="shared" si="3"/>
        <v>ADMV1013ACCZ</v>
      </c>
    </row>
    <row r="52" spans="1:11" x14ac:dyDescent="0.25">
      <c r="A52" s="11" t="s">
        <v>888</v>
      </c>
      <c r="B52" s="11" t="s">
        <v>889</v>
      </c>
      <c r="C52" s="11" t="s">
        <v>161</v>
      </c>
      <c r="D52" s="2" t="s">
        <v>890</v>
      </c>
      <c r="E52" s="2" t="s">
        <v>884</v>
      </c>
      <c r="F52" s="11" t="s">
        <v>885</v>
      </c>
      <c r="G52" s="2" t="s">
        <v>891</v>
      </c>
      <c r="H52" s="11" t="s">
        <v>167</v>
      </c>
      <c r="I52" s="11" t="s">
        <v>892</v>
      </c>
      <c r="J52" s="11" t="str">
        <f t="shared" si="2"/>
        <v>ADMV1014ACCZ</v>
      </c>
      <c r="K52" s="2" t="str">
        <f t="shared" si="3"/>
        <v>ADMV1014ACCZ</v>
      </c>
    </row>
    <row r="53" spans="1:11" x14ac:dyDescent="0.25">
      <c r="A53" s="11" t="s">
        <v>893</v>
      </c>
      <c r="B53" s="11" t="s">
        <v>894</v>
      </c>
      <c r="C53" s="11" t="s">
        <v>161</v>
      </c>
      <c r="D53" s="11" t="s">
        <v>754</v>
      </c>
      <c r="E53" s="2" t="s">
        <v>884</v>
      </c>
      <c r="F53" s="11" t="s">
        <v>885</v>
      </c>
      <c r="G53" s="11" t="s">
        <v>893</v>
      </c>
      <c r="H53" s="11" t="s">
        <v>167</v>
      </c>
      <c r="I53" s="11" t="s">
        <v>895</v>
      </c>
      <c r="J53" s="11" t="str">
        <f t="shared" si="2"/>
        <v>LTC5548</v>
      </c>
      <c r="K53" s="2" t="str">
        <f t="shared" si="3"/>
        <v>LTC5548</v>
      </c>
    </row>
    <row r="54" spans="1:11" x14ac:dyDescent="0.25">
      <c r="A54" s="11" t="s">
        <v>896</v>
      </c>
      <c r="B54" s="11" t="s">
        <v>897</v>
      </c>
      <c r="C54" s="11" t="s">
        <v>161</v>
      </c>
      <c r="D54" s="11" t="s">
        <v>754</v>
      </c>
      <c r="E54" s="2" t="s">
        <v>884</v>
      </c>
      <c r="F54" s="11" t="s">
        <v>885</v>
      </c>
      <c r="G54" s="11" t="s">
        <v>896</v>
      </c>
      <c r="H54" s="11" t="s">
        <v>167</v>
      </c>
      <c r="I54" s="11" t="s">
        <v>895</v>
      </c>
      <c r="J54" s="11" t="str">
        <f t="shared" si="2"/>
        <v>LTC5553</v>
      </c>
      <c r="K54" s="2" t="str">
        <f t="shared" si="3"/>
        <v>LTC5553</v>
      </c>
    </row>
    <row r="55" spans="1:11" x14ac:dyDescent="0.25">
      <c r="A55" s="11" t="s">
        <v>898</v>
      </c>
      <c r="B55" s="2" t="s">
        <v>899</v>
      </c>
      <c r="C55" s="11" t="s">
        <v>732</v>
      </c>
      <c r="D55" s="2" t="s">
        <v>869</v>
      </c>
      <c r="E55" s="2" t="s">
        <v>884</v>
      </c>
      <c r="F55" s="11" t="s">
        <v>885</v>
      </c>
      <c r="G55" s="11" t="s">
        <v>898</v>
      </c>
      <c r="H55" s="11" t="s">
        <v>167</v>
      </c>
      <c r="I55" s="2" t="s">
        <v>869</v>
      </c>
      <c r="J55" s="11" t="str">
        <f t="shared" si="2"/>
        <v>SMIQ-6243H+</v>
      </c>
      <c r="K55" s="2" t="str">
        <f t="shared" si="3"/>
        <v>SMIQ-6243H+</v>
      </c>
    </row>
    <row r="56" spans="1:11" x14ac:dyDescent="0.25">
      <c r="A56" s="11" t="s">
        <v>900</v>
      </c>
      <c r="B56" s="11" t="s">
        <v>901</v>
      </c>
      <c r="C56" s="11" t="s">
        <v>161</v>
      </c>
      <c r="D56" s="11" t="s">
        <v>754</v>
      </c>
      <c r="E56" s="2" t="s">
        <v>884</v>
      </c>
      <c r="F56" s="11" t="s">
        <v>885</v>
      </c>
      <c r="G56" s="11" t="s">
        <v>893</v>
      </c>
      <c r="H56" s="11" t="s">
        <v>167</v>
      </c>
      <c r="I56" s="11" t="s">
        <v>895</v>
      </c>
      <c r="J56" s="11" t="str">
        <f t="shared" si="2"/>
        <v>LTC5552</v>
      </c>
      <c r="K56" s="2" t="str">
        <f t="shared" si="3"/>
        <v>LTC5552</v>
      </c>
    </row>
    <row r="57" spans="1:11" x14ac:dyDescent="0.25">
      <c r="A57" s="11" t="s">
        <v>902</v>
      </c>
      <c r="B57" s="11" t="s">
        <v>903</v>
      </c>
      <c r="C57" s="11" t="s">
        <v>161</v>
      </c>
      <c r="D57" s="11" t="s">
        <v>754</v>
      </c>
      <c r="E57" s="11" t="s">
        <v>884</v>
      </c>
      <c r="F57" s="11" t="s">
        <v>885</v>
      </c>
      <c r="G57" s="11" t="s">
        <v>902</v>
      </c>
      <c r="H57" s="11" t="s">
        <v>167</v>
      </c>
      <c r="I57" s="11" t="s">
        <v>895</v>
      </c>
      <c r="J57" s="11" t="str">
        <f t="shared" si="2"/>
        <v>LTC5549</v>
      </c>
      <c r="K57" s="2" t="str">
        <f t="shared" si="3"/>
        <v>LTC5549</v>
      </c>
    </row>
    <row r="58" spans="1:11" x14ac:dyDescent="0.25">
      <c r="A58" s="11" t="s">
        <v>904</v>
      </c>
      <c r="B58" s="27" t="s">
        <v>905</v>
      </c>
      <c r="C58" s="11" t="s">
        <v>822</v>
      </c>
      <c r="D58" s="11" t="s">
        <v>60</v>
      </c>
      <c r="E58" s="2" t="s">
        <v>906</v>
      </c>
      <c r="F58" s="11" t="s">
        <v>907</v>
      </c>
      <c r="G58" s="11" t="s">
        <v>904</v>
      </c>
      <c r="H58" s="11" t="s">
        <v>167</v>
      </c>
      <c r="I58" s="11" t="s">
        <v>904</v>
      </c>
      <c r="J58" s="11" t="str">
        <f t="shared" si="2"/>
        <v>4400BL15A0100E</v>
      </c>
      <c r="K58" s="2" t="str">
        <f t="shared" si="3"/>
        <v>4400BL15A0100E</v>
      </c>
    </row>
    <row r="59" spans="1:11" x14ac:dyDescent="0.25">
      <c r="A59" s="11" t="s">
        <v>908</v>
      </c>
      <c r="B59" s="11" t="s">
        <v>909</v>
      </c>
      <c r="C59" s="11" t="s">
        <v>732</v>
      </c>
      <c r="D59" s="2" t="s">
        <v>910</v>
      </c>
      <c r="E59" s="2" t="s">
        <v>906</v>
      </c>
      <c r="F59" s="11" t="s">
        <v>907</v>
      </c>
      <c r="G59" s="11" t="s">
        <v>908</v>
      </c>
      <c r="H59" s="11" t="s">
        <v>167</v>
      </c>
      <c r="I59" s="2" t="s">
        <v>910</v>
      </c>
      <c r="J59" s="11" t="str">
        <f t="shared" si="2"/>
        <v>D17W+</v>
      </c>
      <c r="K59" s="2" t="str">
        <f t="shared" si="3"/>
        <v>D17W+</v>
      </c>
    </row>
    <row r="60" spans="1:11" x14ac:dyDescent="0.25">
      <c r="A60" s="11" t="s">
        <v>911</v>
      </c>
      <c r="B60" s="2" t="s">
        <v>912</v>
      </c>
      <c r="C60" s="11" t="s">
        <v>732</v>
      </c>
      <c r="D60" s="2" t="s">
        <v>869</v>
      </c>
      <c r="E60" s="2" t="s">
        <v>906</v>
      </c>
      <c r="F60" s="11" t="s">
        <v>907</v>
      </c>
      <c r="G60" s="11" t="s">
        <v>911</v>
      </c>
      <c r="H60" s="11" t="s">
        <v>167</v>
      </c>
      <c r="I60" s="2" t="s">
        <v>869</v>
      </c>
      <c r="J60" s="11" t="str">
        <f t="shared" si="2"/>
        <v>EP2C+</v>
      </c>
      <c r="K60" s="2" t="str">
        <f t="shared" si="3"/>
        <v>EP2C+</v>
      </c>
    </row>
    <row r="61" spans="1:11" x14ac:dyDescent="0.25">
      <c r="A61" s="11" t="s">
        <v>913</v>
      </c>
      <c r="B61" s="2" t="s">
        <v>914</v>
      </c>
      <c r="C61" s="11" t="s">
        <v>732</v>
      </c>
      <c r="D61" s="2" t="s">
        <v>869</v>
      </c>
      <c r="E61" s="2" t="s">
        <v>906</v>
      </c>
      <c r="F61" s="11" t="s">
        <v>907</v>
      </c>
      <c r="G61" s="11" t="s">
        <v>913</v>
      </c>
      <c r="H61" s="11" t="s">
        <v>167</v>
      </c>
      <c r="I61" s="2" t="s">
        <v>869</v>
      </c>
      <c r="J61" s="11" t="str">
        <f t="shared" si="2"/>
        <v>EP2K+</v>
      </c>
      <c r="K61" s="2" t="str">
        <f t="shared" si="3"/>
        <v>EP2K+</v>
      </c>
    </row>
    <row r="62" spans="1:11" x14ac:dyDescent="0.25">
      <c r="A62" s="11" t="s">
        <v>915</v>
      </c>
      <c r="B62" s="2" t="s">
        <v>916</v>
      </c>
      <c r="C62" s="11" t="s">
        <v>732</v>
      </c>
      <c r="D62" s="2" t="s">
        <v>917</v>
      </c>
      <c r="E62" s="2" t="s">
        <v>906</v>
      </c>
      <c r="F62" s="11" t="s">
        <v>907</v>
      </c>
      <c r="G62" s="11" t="s">
        <v>915</v>
      </c>
      <c r="H62" s="11" t="s">
        <v>167</v>
      </c>
      <c r="I62" s="11" t="s">
        <v>917</v>
      </c>
      <c r="J62" s="11" t="str">
        <f t="shared" si="2"/>
        <v>EP2KA+</v>
      </c>
      <c r="K62" s="2" t="str">
        <f t="shared" si="3"/>
        <v>EP2KA+</v>
      </c>
    </row>
    <row r="63" spans="1:11" x14ac:dyDescent="0.25">
      <c r="A63" s="2" t="s">
        <v>918</v>
      </c>
      <c r="B63" s="2" t="s">
        <v>919</v>
      </c>
      <c r="C63" s="11" t="s">
        <v>732</v>
      </c>
      <c r="D63" s="2" t="s">
        <v>920</v>
      </c>
      <c r="E63" s="2" t="s">
        <v>906</v>
      </c>
      <c r="F63" s="11" t="s">
        <v>907</v>
      </c>
      <c r="G63" s="11" t="s">
        <v>918</v>
      </c>
      <c r="H63" s="11" t="s">
        <v>167</v>
      </c>
      <c r="I63" s="11" t="s">
        <v>920</v>
      </c>
      <c r="J63" s="11" t="str">
        <f t="shared" si="2"/>
        <v>EP2RCW+</v>
      </c>
      <c r="K63" s="2" t="str">
        <f t="shared" si="3"/>
        <v>EP2RCW+</v>
      </c>
    </row>
    <row r="64" spans="1:11" x14ac:dyDescent="0.25">
      <c r="A64" s="11" t="s">
        <v>921</v>
      </c>
      <c r="B64" s="11" t="s">
        <v>922</v>
      </c>
      <c r="C64" s="11" t="s">
        <v>732</v>
      </c>
      <c r="D64" s="2" t="s">
        <v>920</v>
      </c>
      <c r="E64" s="2" t="s">
        <v>906</v>
      </c>
      <c r="F64" s="11" t="s">
        <v>907</v>
      </c>
      <c r="G64" s="11" t="s">
        <v>921</v>
      </c>
      <c r="H64" s="11" t="s">
        <v>167</v>
      </c>
      <c r="I64" s="11" t="s">
        <v>923</v>
      </c>
      <c r="J64" s="11" t="str">
        <f t="shared" si="2"/>
        <v>EP4RKU+</v>
      </c>
      <c r="K64" s="2" t="str">
        <f t="shared" si="3"/>
        <v>EP4RKU+</v>
      </c>
    </row>
    <row r="65" spans="1:13" x14ac:dyDescent="0.25">
      <c r="A65" s="2" t="s">
        <v>924</v>
      </c>
      <c r="B65" s="2" t="s">
        <v>916</v>
      </c>
      <c r="C65" s="11" t="s">
        <v>732</v>
      </c>
      <c r="D65" s="2" t="s">
        <v>839</v>
      </c>
      <c r="E65" s="2" t="s">
        <v>906</v>
      </c>
      <c r="F65" s="11" t="s">
        <v>907</v>
      </c>
      <c r="G65" s="11" t="s">
        <v>925</v>
      </c>
      <c r="H65" s="11" t="s">
        <v>167</v>
      </c>
      <c r="I65" s="11" t="s">
        <v>839</v>
      </c>
      <c r="J65" s="11" t="str">
        <f t="shared" si="2"/>
        <v>QCN-45+</v>
      </c>
      <c r="K65" s="2" t="str">
        <f t="shared" si="3"/>
        <v>QCN-45+</v>
      </c>
    </row>
    <row r="66" spans="1:13" x14ac:dyDescent="0.25">
      <c r="A66" s="2" t="s">
        <v>926</v>
      </c>
      <c r="B66" s="2" t="s">
        <v>916</v>
      </c>
      <c r="C66" s="11" t="s">
        <v>732</v>
      </c>
      <c r="D66" s="2" t="s">
        <v>927</v>
      </c>
      <c r="E66" s="2" t="s">
        <v>906</v>
      </c>
      <c r="F66" s="11" t="s">
        <v>907</v>
      </c>
      <c r="G66" s="11" t="s">
        <v>925</v>
      </c>
      <c r="H66" s="11" t="s">
        <v>167</v>
      </c>
      <c r="I66" s="11" t="s">
        <v>927</v>
      </c>
      <c r="J66" s="11" t="str">
        <f t="shared" ref="J66:J82" si="4">A66</f>
        <v>QCS-83+</v>
      </c>
      <c r="K66" s="2" t="str">
        <f t="shared" ref="K66:K82" si="5">J66</f>
        <v>QCS-83+</v>
      </c>
    </row>
    <row r="67" spans="1:13" x14ac:dyDescent="0.25">
      <c r="A67" s="11" t="s">
        <v>928</v>
      </c>
      <c r="B67" s="11" t="s">
        <v>929</v>
      </c>
      <c r="C67" s="11" t="s">
        <v>879</v>
      </c>
      <c r="D67" s="11" t="s">
        <v>930</v>
      </c>
      <c r="E67" s="2" t="s">
        <v>906</v>
      </c>
      <c r="F67" s="11" t="s">
        <v>907</v>
      </c>
      <c r="G67" s="11" t="s">
        <v>928</v>
      </c>
      <c r="H67" s="11" t="s">
        <v>167</v>
      </c>
      <c r="I67" s="11" t="s">
        <v>930</v>
      </c>
      <c r="J67" s="11" t="str">
        <f t="shared" si="4"/>
        <v>FPC06073</v>
      </c>
      <c r="K67" s="2" t="str">
        <f t="shared" si="5"/>
        <v>FPC06073</v>
      </c>
    </row>
    <row r="68" spans="1:13" x14ac:dyDescent="0.25">
      <c r="A68" s="11" t="s">
        <v>931</v>
      </c>
      <c r="B68" s="11" t="s">
        <v>932</v>
      </c>
      <c r="C68" s="11" t="s">
        <v>161</v>
      </c>
      <c r="D68" s="2" t="s">
        <v>802</v>
      </c>
      <c r="E68" s="2" t="s">
        <v>906</v>
      </c>
      <c r="F68" s="11" t="s">
        <v>907</v>
      </c>
      <c r="G68" s="11" t="s">
        <v>931</v>
      </c>
      <c r="H68" s="11" t="s">
        <v>167</v>
      </c>
      <c r="I68" s="11" t="s">
        <v>802</v>
      </c>
      <c r="J68" s="11" t="str">
        <f t="shared" si="4"/>
        <v>ADL5519</v>
      </c>
      <c r="K68" s="2" t="str">
        <f t="shared" si="5"/>
        <v>ADL5519</v>
      </c>
    </row>
    <row r="69" spans="1:13" x14ac:dyDescent="0.25">
      <c r="A69" s="11" t="s">
        <v>933</v>
      </c>
      <c r="B69" s="11" t="s">
        <v>934</v>
      </c>
      <c r="C69" s="11" t="s">
        <v>743</v>
      </c>
      <c r="D69" s="11" t="s">
        <v>935</v>
      </c>
      <c r="E69" s="2" t="s">
        <v>936</v>
      </c>
      <c r="F69" s="11" t="s">
        <v>937</v>
      </c>
      <c r="G69" s="11" t="s">
        <v>933</v>
      </c>
      <c r="H69" s="11" t="s">
        <v>167</v>
      </c>
      <c r="I69" s="11" t="s">
        <v>938</v>
      </c>
      <c r="J69" s="11" t="str">
        <f t="shared" si="4"/>
        <v>CWS23902</v>
      </c>
      <c r="K69" s="2" t="str">
        <f t="shared" si="5"/>
        <v>CWS23902</v>
      </c>
    </row>
    <row r="70" spans="1:13" x14ac:dyDescent="0.25">
      <c r="A70" s="11" t="s">
        <v>939</v>
      </c>
      <c r="B70" s="2" t="s">
        <v>940</v>
      </c>
      <c r="C70" s="11" t="s">
        <v>161</v>
      </c>
      <c r="D70" s="11" t="s">
        <v>941</v>
      </c>
      <c r="E70" s="2" t="s">
        <v>942</v>
      </c>
      <c r="F70" s="11" t="s">
        <v>943</v>
      </c>
      <c r="G70" s="11" t="s">
        <v>944</v>
      </c>
      <c r="H70" s="11" t="s">
        <v>167</v>
      </c>
      <c r="I70" s="11" t="s">
        <v>945</v>
      </c>
      <c r="J70" s="11" t="str">
        <f t="shared" si="4"/>
        <v>ADRF5024BCCZN</v>
      </c>
      <c r="K70" s="2" t="str">
        <f t="shared" si="5"/>
        <v>ADRF5024BCCZN</v>
      </c>
    </row>
    <row r="71" spans="1:13" x14ac:dyDescent="0.25">
      <c r="A71" s="11" t="s">
        <v>946</v>
      </c>
      <c r="B71" s="11" t="s">
        <v>947</v>
      </c>
      <c r="C71" s="11" t="s">
        <v>161</v>
      </c>
      <c r="D71" t="s">
        <v>948</v>
      </c>
      <c r="E71" s="11" t="s">
        <v>942</v>
      </c>
      <c r="F71" s="11" t="s">
        <v>943</v>
      </c>
      <c r="G71" s="11" t="s">
        <v>946</v>
      </c>
      <c r="H71" s="11" t="s">
        <v>167</v>
      </c>
      <c r="I71" s="2" t="s">
        <v>949</v>
      </c>
      <c r="J71" s="11" t="str">
        <f t="shared" si="4"/>
        <v>ADRF5238</v>
      </c>
      <c r="K71" s="2" t="str">
        <f t="shared" si="5"/>
        <v>ADRF5238</v>
      </c>
    </row>
    <row r="72" spans="1:13" x14ac:dyDescent="0.25">
      <c r="A72" s="11" t="s">
        <v>950</v>
      </c>
      <c r="B72" s="25" t="s">
        <v>951</v>
      </c>
      <c r="C72" s="11" t="s">
        <v>161</v>
      </c>
      <c r="D72" s="2" t="s">
        <v>952</v>
      </c>
      <c r="E72" s="2" t="s">
        <v>942</v>
      </c>
      <c r="F72" s="11" t="s">
        <v>943</v>
      </c>
      <c r="G72" s="11" t="s">
        <v>950</v>
      </c>
      <c r="H72" s="11" t="s">
        <v>167</v>
      </c>
      <c r="I72" s="11" t="s">
        <v>953</v>
      </c>
      <c r="J72" s="11" t="str">
        <f t="shared" si="4"/>
        <v>HMC544A</v>
      </c>
      <c r="K72" s="2" t="str">
        <f t="shared" si="5"/>
        <v>HMC544A</v>
      </c>
    </row>
    <row r="73" spans="1:13" x14ac:dyDescent="0.25">
      <c r="A73" s="11" t="s">
        <v>954</v>
      </c>
      <c r="B73" s="11" t="s">
        <v>955</v>
      </c>
      <c r="C73" s="11" t="s">
        <v>956</v>
      </c>
      <c r="D73" s="11" t="s">
        <v>957</v>
      </c>
      <c r="E73" s="2" t="s">
        <v>942</v>
      </c>
      <c r="F73" s="11" t="s">
        <v>943</v>
      </c>
      <c r="G73" s="11" t="s">
        <v>954</v>
      </c>
      <c r="H73" s="11" t="s">
        <v>167</v>
      </c>
      <c r="I73" s="11" t="s">
        <v>957</v>
      </c>
      <c r="J73" s="11" t="str">
        <f t="shared" si="4"/>
        <v>SKY13575-639LF</v>
      </c>
      <c r="K73" s="2" t="str">
        <f t="shared" si="5"/>
        <v>SKY13575-639LF</v>
      </c>
    </row>
    <row r="74" spans="1:13" x14ac:dyDescent="0.25">
      <c r="A74" s="2" t="s">
        <v>958</v>
      </c>
      <c r="B74" s="11" t="s">
        <v>959</v>
      </c>
      <c r="C74" s="11" t="s">
        <v>161</v>
      </c>
      <c r="D74" s="11" t="s">
        <v>960</v>
      </c>
      <c r="E74" s="11" t="s">
        <v>942</v>
      </c>
      <c r="F74" s="11" t="s">
        <v>943</v>
      </c>
      <c r="G74" s="11" t="s">
        <v>961</v>
      </c>
      <c r="H74" s="11" t="s">
        <v>167</v>
      </c>
      <c r="I74" s="11" t="s">
        <v>960</v>
      </c>
      <c r="J74" s="11" t="str">
        <f t="shared" si="4"/>
        <v>ADRF5019BCPZN</v>
      </c>
      <c r="K74" s="11" t="str">
        <f t="shared" si="5"/>
        <v>ADRF5019BCPZN</v>
      </c>
    </row>
    <row r="75" spans="1:13" x14ac:dyDescent="0.25">
      <c r="A75" s="11" t="s">
        <v>962</v>
      </c>
      <c r="B75" s="11" t="s">
        <v>959</v>
      </c>
      <c r="C75" s="11" t="s">
        <v>161</v>
      </c>
      <c r="D75" s="11" t="s">
        <v>960</v>
      </c>
      <c r="E75" s="11" t="s">
        <v>942</v>
      </c>
      <c r="F75" s="11" t="s">
        <v>943</v>
      </c>
      <c r="G75" s="11" t="s">
        <v>961</v>
      </c>
      <c r="H75" s="11" t="s">
        <v>167</v>
      </c>
      <c r="I75" s="11" t="s">
        <v>960</v>
      </c>
      <c r="J75" s="11" t="str">
        <f t="shared" si="4"/>
        <v>HMC1118LP3DE</v>
      </c>
      <c r="K75" s="2" t="str">
        <f t="shared" si="5"/>
        <v>HMC1118LP3DE</v>
      </c>
    </row>
    <row r="76" spans="1:13" x14ac:dyDescent="0.25">
      <c r="A76" s="11" t="s">
        <v>963</v>
      </c>
      <c r="B76" s="2" t="s">
        <v>964</v>
      </c>
      <c r="C76" s="11" t="s">
        <v>161</v>
      </c>
      <c r="D76" s="2" t="s">
        <v>802</v>
      </c>
      <c r="E76" s="2" t="s">
        <v>965</v>
      </c>
      <c r="F76" s="11" t="s">
        <v>966</v>
      </c>
      <c r="G76" s="11" t="s">
        <v>967</v>
      </c>
      <c r="H76" s="11" t="s">
        <v>167</v>
      </c>
      <c r="I76" s="2" t="s">
        <v>802</v>
      </c>
      <c r="J76" s="11" t="str">
        <f t="shared" si="4"/>
        <v>ADF5356BCPZ</v>
      </c>
      <c r="K76" s="2" t="str">
        <f t="shared" si="5"/>
        <v>ADF5356BCPZ</v>
      </c>
    </row>
    <row r="77" spans="1:13" x14ac:dyDescent="0.25">
      <c r="A77" s="2" t="s">
        <v>968</v>
      </c>
      <c r="B77" s="2" t="s">
        <v>969</v>
      </c>
      <c r="C77" s="11" t="s">
        <v>204</v>
      </c>
      <c r="D77" s="2" t="s">
        <v>970</v>
      </c>
      <c r="E77" s="2" t="s">
        <v>965</v>
      </c>
      <c r="F77" s="11" t="s">
        <v>966</v>
      </c>
      <c r="G77" s="2" t="s">
        <v>968</v>
      </c>
      <c r="H77" s="11" t="s">
        <v>167</v>
      </c>
      <c r="I77" s="2" t="s">
        <v>971</v>
      </c>
      <c r="J77" s="11" t="str">
        <f t="shared" si="4"/>
        <v>LMX2594RHA</v>
      </c>
      <c r="K77" s="2" t="str">
        <f t="shared" si="5"/>
        <v>LMX2594RHA</v>
      </c>
    </row>
    <row r="78" spans="1:13" x14ac:dyDescent="0.25">
      <c r="A78" s="11" t="s">
        <v>972</v>
      </c>
      <c r="B78" s="2" t="s">
        <v>973</v>
      </c>
      <c r="C78" s="11" t="s">
        <v>161</v>
      </c>
      <c r="D78" s="2" t="s">
        <v>974</v>
      </c>
      <c r="E78" s="2" t="s">
        <v>975</v>
      </c>
      <c r="F78" s="11" t="s">
        <v>976</v>
      </c>
      <c r="G78" s="11" t="s">
        <v>977</v>
      </c>
      <c r="H78" s="11" t="s">
        <v>167</v>
      </c>
      <c r="I78" s="11" t="s">
        <v>978</v>
      </c>
      <c r="J78" s="11" t="str">
        <f t="shared" si="4"/>
        <v>ADRV9025BBCZ</v>
      </c>
      <c r="K78" s="2" t="str">
        <f t="shared" si="5"/>
        <v>ADRV9025BBCZ</v>
      </c>
    </row>
    <row r="79" spans="1:13" x14ac:dyDescent="0.25">
      <c r="A79" s="11" t="s">
        <v>979</v>
      </c>
      <c r="B79" s="2" t="s">
        <v>973</v>
      </c>
      <c r="C79" s="11" t="s">
        <v>161</v>
      </c>
      <c r="D79" s="2" t="s">
        <v>974</v>
      </c>
      <c r="E79" s="2" t="s">
        <v>975</v>
      </c>
      <c r="F79" s="11" t="s">
        <v>976</v>
      </c>
      <c r="G79" s="11" t="s">
        <v>977</v>
      </c>
      <c r="H79" s="11" t="s">
        <v>167</v>
      </c>
      <c r="I79" s="11" t="s">
        <v>978</v>
      </c>
      <c r="J79" s="11" t="str">
        <f t="shared" si="4"/>
        <v>ADRV9026BBCZ</v>
      </c>
      <c r="K79" s="2" t="str">
        <f t="shared" si="5"/>
        <v>ADRV9026BBCZ</v>
      </c>
      <c r="M79" s="31"/>
    </row>
    <row r="80" spans="1:13" x14ac:dyDescent="0.25">
      <c r="A80" s="11" t="s">
        <v>980</v>
      </c>
      <c r="B80" s="11" t="s">
        <v>981</v>
      </c>
      <c r="C80" s="11" t="s">
        <v>982</v>
      </c>
      <c r="D80" s="11" t="s">
        <v>983</v>
      </c>
      <c r="E80" s="2" t="s">
        <v>823</v>
      </c>
      <c r="F80" s="11" t="s">
        <v>824</v>
      </c>
      <c r="G80" s="11" t="s">
        <v>980</v>
      </c>
      <c r="H80" s="11" t="s">
        <v>167</v>
      </c>
      <c r="I80" s="11" t="s">
        <v>980</v>
      </c>
      <c r="J80" s="11" t="str">
        <f t="shared" si="4"/>
        <v>ФП3П7-814-77</v>
      </c>
      <c r="K80" s="2" t="str">
        <f t="shared" si="5"/>
        <v>ФП3П7-814-77</v>
      </c>
    </row>
    <row r="81" spans="1:11" x14ac:dyDescent="0.25">
      <c r="A81" s="11" t="s">
        <v>1344</v>
      </c>
      <c r="B81" s="11" t="s">
        <v>1345</v>
      </c>
      <c r="C81" s="11" t="s">
        <v>732</v>
      </c>
      <c r="D81" s="5" t="s">
        <v>839</v>
      </c>
      <c r="E81" s="11" t="s">
        <v>1346</v>
      </c>
      <c r="F81" s="11" t="s">
        <v>907</v>
      </c>
      <c r="G81" s="11" t="s">
        <v>1344</v>
      </c>
      <c r="H81" s="11" t="s">
        <v>167</v>
      </c>
      <c r="I81" s="11" t="s">
        <v>839</v>
      </c>
      <c r="J81" s="11" t="str">
        <f t="shared" si="4"/>
        <v>BDCN-14-342+</v>
      </c>
      <c r="K81" s="5" t="str">
        <f t="shared" si="5"/>
        <v>BDCN-14-342+</v>
      </c>
    </row>
    <row r="82" spans="1:11" x14ac:dyDescent="0.25">
      <c r="A82" s="36" t="s">
        <v>1349</v>
      </c>
      <c r="B82" s="11" t="s">
        <v>1347</v>
      </c>
      <c r="C82" s="11" t="s">
        <v>161</v>
      </c>
      <c r="D82" s="36" t="s">
        <v>1348</v>
      </c>
      <c r="E82" s="11" t="s">
        <v>942</v>
      </c>
      <c r="F82" s="11" t="s">
        <v>943</v>
      </c>
      <c r="G82" s="36" t="s">
        <v>1349</v>
      </c>
      <c r="H82" s="11" t="s">
        <v>167</v>
      </c>
      <c r="I82" s="36" t="s">
        <v>1348</v>
      </c>
      <c r="J82" s="11" t="str">
        <f t="shared" si="4"/>
        <v>HMC784AMS8GE</v>
      </c>
      <c r="K82" s="5" t="str">
        <f t="shared" si="5"/>
        <v>HMC784AMS8GE</v>
      </c>
    </row>
  </sheetData>
  <conditionalFormatting sqref="I2:I81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showGridLines="0" workbookViewId="0">
      <selection activeCell="E32" sqref="E32"/>
    </sheetView>
  </sheetViews>
  <sheetFormatPr defaultColWidth="11.125" defaultRowHeight="15.75" x14ac:dyDescent="0.25"/>
  <cols>
    <col min="1" max="1" width="26.25" style="11" customWidth="1"/>
    <col min="2" max="2" width="54.5" style="11" customWidth="1"/>
    <col min="3" max="3" width="25.5" style="11" customWidth="1"/>
    <col min="4" max="4" width="35.625" style="11" customWidth="1"/>
    <col min="5" max="5" width="14.375" style="11" customWidth="1"/>
    <col min="6" max="6" width="35.375" style="11" customWidth="1"/>
    <col min="7" max="7" width="24" style="11" customWidth="1"/>
    <col min="8" max="8" width="41.375" style="11" customWidth="1"/>
    <col min="9" max="9" width="19.25" style="11" customWidth="1"/>
    <col min="10" max="11" width="28" style="11" customWidth="1"/>
    <col min="12" max="12" width="18.625" style="11" customWidth="1"/>
    <col min="13" max="13" width="24" style="11" customWidth="1"/>
    <col min="14" max="16384" width="11.125" style="11"/>
  </cols>
  <sheetData>
    <row r="1" spans="1:11" ht="20.100000000000001" customHeight="1" x14ac:dyDescent="0.25">
      <c r="A1" s="11" t="s">
        <v>0</v>
      </c>
      <c r="B1" s="11" t="s">
        <v>1</v>
      </c>
      <c r="C1" s="11" t="s">
        <v>2</v>
      </c>
      <c r="D1" s="11" t="s">
        <v>8</v>
      </c>
      <c r="E1" s="11" t="s">
        <v>984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15</v>
      </c>
      <c r="K1" s="11" t="s">
        <v>16</v>
      </c>
    </row>
    <row r="2" spans="1:11" ht="20.100000000000001" customHeight="1" x14ac:dyDescent="0.25">
      <c r="A2" s="11" t="s">
        <v>985</v>
      </c>
      <c r="B2" s="11" t="s">
        <v>986</v>
      </c>
      <c r="C2" s="11" t="s">
        <v>987</v>
      </c>
      <c r="D2" s="11" t="s">
        <v>988</v>
      </c>
      <c r="E2" s="11" t="s">
        <v>989</v>
      </c>
      <c r="F2" s="11" t="s">
        <v>990</v>
      </c>
      <c r="G2" s="11" t="s">
        <v>991</v>
      </c>
      <c r="H2" s="11" t="s">
        <v>992</v>
      </c>
      <c r="I2" s="11" t="s">
        <v>985</v>
      </c>
      <c r="J2" s="11" t="str">
        <f>A2</f>
        <v>142-0761-801</v>
      </c>
      <c r="K2" s="12" t="str">
        <f t="shared" ref="K2:K26" si="0">J2</f>
        <v>142-0761-801</v>
      </c>
    </row>
    <row r="3" spans="1:11" ht="20.100000000000001" customHeight="1" x14ac:dyDescent="0.25">
      <c r="A3" s="11" t="s">
        <v>993</v>
      </c>
      <c r="B3" s="2" t="s">
        <v>994</v>
      </c>
      <c r="C3" s="11" t="s">
        <v>995</v>
      </c>
      <c r="D3" s="11" t="s">
        <v>996</v>
      </c>
      <c r="F3" s="11" t="s">
        <v>990</v>
      </c>
      <c r="G3" s="11" t="s">
        <v>993</v>
      </c>
      <c r="H3" s="11" t="s">
        <v>992</v>
      </c>
      <c r="I3" s="11" t="s">
        <v>997</v>
      </c>
      <c r="J3" s="11" t="str">
        <f t="shared" ref="J3:J26" si="1">A3</f>
        <v>53398-0471</v>
      </c>
      <c r="K3" s="12" t="str">
        <f t="shared" si="0"/>
        <v>53398-0471</v>
      </c>
    </row>
    <row r="4" spans="1:11" ht="20.100000000000001" customHeight="1" x14ac:dyDescent="0.25">
      <c r="A4" s="11" t="s">
        <v>998</v>
      </c>
      <c r="B4" s="2" t="s">
        <v>999</v>
      </c>
      <c r="C4" s="11" t="s">
        <v>995</v>
      </c>
      <c r="D4" s="11" t="s">
        <v>996</v>
      </c>
      <c r="F4" s="11" t="s">
        <v>990</v>
      </c>
      <c r="G4" s="11" t="s">
        <v>998</v>
      </c>
      <c r="H4" s="11" t="s">
        <v>992</v>
      </c>
      <c r="I4" s="11" t="s">
        <v>1000</v>
      </c>
      <c r="J4" s="11" t="str">
        <f t="shared" si="1"/>
        <v>87832-1420</v>
      </c>
      <c r="K4" s="12" t="str">
        <f t="shared" si="0"/>
        <v>87832-1420</v>
      </c>
    </row>
    <row r="5" spans="1:11" ht="20.100000000000001" customHeight="1" x14ac:dyDescent="0.25">
      <c r="A5" s="11" t="s">
        <v>1001</v>
      </c>
      <c r="B5" s="11" t="s">
        <v>1002</v>
      </c>
      <c r="C5" s="11" t="s">
        <v>995</v>
      </c>
      <c r="D5" s="11" t="s">
        <v>996</v>
      </c>
      <c r="E5" s="11" t="s">
        <v>1003</v>
      </c>
      <c r="F5" s="11" t="s">
        <v>990</v>
      </c>
      <c r="G5" s="11" t="s">
        <v>991</v>
      </c>
      <c r="H5" s="11" t="s">
        <v>992</v>
      </c>
      <c r="I5" s="11" t="s">
        <v>1004</v>
      </c>
      <c r="J5" s="11" t="str">
        <f t="shared" si="1"/>
        <v>85305-0232</v>
      </c>
      <c r="K5" s="12" t="str">
        <f t="shared" si="0"/>
        <v>85305-0232</v>
      </c>
    </row>
    <row r="6" spans="1:11" ht="20.100000000000001" customHeight="1" x14ac:dyDescent="0.25">
      <c r="A6" s="11" t="s">
        <v>1005</v>
      </c>
      <c r="B6" s="11" t="s">
        <v>1006</v>
      </c>
      <c r="C6" s="11" t="s">
        <v>1007</v>
      </c>
      <c r="D6" s="11" t="s">
        <v>988</v>
      </c>
      <c r="E6" s="11" t="s">
        <v>989</v>
      </c>
      <c r="F6" s="11" t="s">
        <v>990</v>
      </c>
      <c r="G6" s="11" t="s">
        <v>991</v>
      </c>
      <c r="H6" s="11" t="s">
        <v>992</v>
      </c>
      <c r="I6" s="11" t="s">
        <v>1005</v>
      </c>
      <c r="J6" s="11" t="str">
        <f t="shared" si="1"/>
        <v>SMA-KYHDC</v>
      </c>
      <c r="K6" s="12" t="str">
        <f t="shared" si="0"/>
        <v>SMA-KYHDC</v>
      </c>
    </row>
    <row r="7" spans="1:11" ht="20.100000000000001" customHeight="1" x14ac:dyDescent="0.25">
      <c r="A7" s="11" t="s">
        <v>1008</v>
      </c>
      <c r="B7" s="11" t="s">
        <v>1009</v>
      </c>
      <c r="C7" s="13" t="s">
        <v>1010</v>
      </c>
      <c r="D7" s="11" t="s">
        <v>1011</v>
      </c>
      <c r="F7" s="11" t="s">
        <v>990</v>
      </c>
      <c r="G7" s="11" t="s">
        <v>1008</v>
      </c>
      <c r="H7" s="11" t="s">
        <v>992</v>
      </c>
      <c r="I7" s="11" t="s">
        <v>1012</v>
      </c>
      <c r="J7" s="11" t="str">
        <f t="shared" si="1"/>
        <v>TB006-508-02BE</v>
      </c>
      <c r="K7" s="12" t="str">
        <f t="shared" si="0"/>
        <v>TB006-508-02BE</v>
      </c>
    </row>
    <row r="8" spans="1:11" ht="20.100000000000001" customHeight="1" x14ac:dyDescent="0.25">
      <c r="A8" s="11" t="s">
        <v>1013</v>
      </c>
      <c r="B8" s="2" t="s">
        <v>1014</v>
      </c>
      <c r="C8" s="11" t="s">
        <v>1015</v>
      </c>
      <c r="D8" s="11" t="s">
        <v>1016</v>
      </c>
      <c r="F8" s="11" t="s">
        <v>990</v>
      </c>
      <c r="G8" s="11" t="s">
        <v>1013</v>
      </c>
      <c r="H8" s="11" t="s">
        <v>992</v>
      </c>
      <c r="I8" s="11" t="s">
        <v>1017</v>
      </c>
      <c r="J8" s="11" t="str">
        <f t="shared" si="1"/>
        <v>S2B-ZR-SM4A-TF</v>
      </c>
      <c r="K8" s="12" t="str">
        <f t="shared" si="0"/>
        <v>S2B-ZR-SM4A-TF</v>
      </c>
    </row>
    <row r="9" spans="1:11" ht="20.100000000000001" customHeight="1" x14ac:dyDescent="0.25">
      <c r="A9" s="11" t="s">
        <v>1018</v>
      </c>
      <c r="B9" s="11" t="s">
        <v>1019</v>
      </c>
      <c r="C9" s="11" t="s">
        <v>1020</v>
      </c>
      <c r="D9" s="11" t="s">
        <v>1021</v>
      </c>
      <c r="F9" s="11" t="s">
        <v>990</v>
      </c>
      <c r="G9" s="11" t="s">
        <v>1018</v>
      </c>
      <c r="H9" s="11" t="s">
        <v>992</v>
      </c>
      <c r="J9" s="11" t="str">
        <f t="shared" si="1"/>
        <v>SOLC-120-02-F-Q-A-K-TR</v>
      </c>
      <c r="K9" s="12" t="str">
        <f t="shared" si="0"/>
        <v>SOLC-120-02-F-Q-A-K-TR</v>
      </c>
    </row>
    <row r="10" spans="1:11" ht="20.100000000000001" customHeight="1" x14ac:dyDescent="0.25">
      <c r="A10" s="11" t="s">
        <v>1022</v>
      </c>
      <c r="B10" s="11" t="s">
        <v>1023</v>
      </c>
      <c r="C10" s="11" t="s">
        <v>1024</v>
      </c>
      <c r="D10" s="11" t="s">
        <v>988</v>
      </c>
      <c r="E10" s="11" t="s">
        <v>1025</v>
      </c>
      <c r="F10" s="11" t="s">
        <v>990</v>
      </c>
      <c r="G10" s="11" t="s">
        <v>991</v>
      </c>
      <c r="H10" s="11" t="s">
        <v>992</v>
      </c>
      <c r="I10" s="11" t="s">
        <v>1022</v>
      </c>
      <c r="J10" s="11" t="str">
        <f t="shared" si="1"/>
        <v>SMP-MSLD-PCT-6</v>
      </c>
      <c r="K10" s="11" t="str">
        <f t="shared" si="0"/>
        <v>SMP-MSLD-PCT-6</v>
      </c>
    </row>
    <row r="11" spans="1:11" ht="20.100000000000001" customHeight="1" x14ac:dyDescent="0.25">
      <c r="A11" s="11" t="s">
        <v>1026</v>
      </c>
      <c r="B11" s="11" t="s">
        <v>1027</v>
      </c>
      <c r="C11" s="11" t="s">
        <v>1024</v>
      </c>
      <c r="D11" s="11" t="s">
        <v>988</v>
      </c>
      <c r="E11" s="11" t="s">
        <v>1003</v>
      </c>
      <c r="F11" s="11" t="s">
        <v>990</v>
      </c>
      <c r="G11" s="11" t="s">
        <v>991</v>
      </c>
      <c r="H11" s="11" t="s">
        <v>992</v>
      </c>
      <c r="I11" s="11" t="s">
        <v>1026</v>
      </c>
      <c r="J11" s="11" t="str">
        <f t="shared" si="1"/>
        <v>SMP-MSSB-PCS</v>
      </c>
      <c r="K11" s="11" t="str">
        <f t="shared" si="0"/>
        <v>SMP-MSSB-PCS</v>
      </c>
    </row>
    <row r="12" spans="1:11" ht="20.100000000000001" customHeight="1" x14ac:dyDescent="0.25">
      <c r="A12" s="11" t="s">
        <v>1028</v>
      </c>
      <c r="B12" s="2" t="s">
        <v>1029</v>
      </c>
      <c r="C12" s="11" t="s">
        <v>995</v>
      </c>
      <c r="D12" s="2" t="s">
        <v>1030</v>
      </c>
      <c r="F12" s="11" t="s">
        <v>990</v>
      </c>
      <c r="G12" s="11" t="s">
        <v>1028</v>
      </c>
      <c r="H12" s="11" t="s">
        <v>992</v>
      </c>
      <c r="J12" s="11" t="str">
        <f t="shared" si="1"/>
        <v>47352-1001</v>
      </c>
      <c r="K12" s="11" t="str">
        <f t="shared" si="0"/>
        <v>47352-1001</v>
      </c>
    </row>
    <row r="13" spans="1:11" ht="20.100000000000001" customHeight="1" x14ac:dyDescent="0.25">
      <c r="A13" s="11" t="s">
        <v>1031</v>
      </c>
      <c r="B13" s="11" t="s">
        <v>1032</v>
      </c>
      <c r="C13" s="11" t="s">
        <v>1033</v>
      </c>
      <c r="D13" s="11" t="s">
        <v>1011</v>
      </c>
      <c r="F13" s="11" t="s">
        <v>990</v>
      </c>
      <c r="G13" s="11" t="s">
        <v>1031</v>
      </c>
      <c r="H13" s="11" t="s">
        <v>992</v>
      </c>
      <c r="I13" s="11" t="s">
        <v>1031</v>
      </c>
      <c r="J13" s="11" t="str">
        <f t="shared" si="1"/>
        <v>PJ-002B</v>
      </c>
      <c r="K13" s="11" t="str">
        <f t="shared" si="0"/>
        <v>PJ-002B</v>
      </c>
    </row>
    <row r="14" spans="1:11" ht="20.100000000000001" customHeight="1" x14ac:dyDescent="0.25">
      <c r="A14" s="11" t="s">
        <v>1034</v>
      </c>
      <c r="B14" s="11" t="s">
        <v>1035</v>
      </c>
      <c r="C14" s="11" t="s">
        <v>1036</v>
      </c>
      <c r="D14" s="11" t="s">
        <v>1030</v>
      </c>
      <c r="F14" s="11" t="s">
        <v>990</v>
      </c>
      <c r="G14" s="11" t="s">
        <v>1034</v>
      </c>
      <c r="H14" s="11" t="s">
        <v>992</v>
      </c>
      <c r="J14" s="11" t="str">
        <f t="shared" si="1"/>
        <v>ZX62R-B-5P</v>
      </c>
      <c r="K14" s="11" t="str">
        <f t="shared" si="0"/>
        <v>ZX62R-B-5P</v>
      </c>
    </row>
    <row r="15" spans="1:11" ht="20.100000000000001" customHeight="1" x14ac:dyDescent="0.25">
      <c r="A15" s="11" t="s">
        <v>1037</v>
      </c>
      <c r="B15" s="2" t="s">
        <v>1038</v>
      </c>
      <c r="C15" s="11" t="s">
        <v>1039</v>
      </c>
      <c r="D15" s="11" t="s">
        <v>1021</v>
      </c>
      <c r="F15" s="11" t="s">
        <v>990</v>
      </c>
      <c r="G15" s="14" t="s">
        <v>1040</v>
      </c>
      <c r="H15" s="11" t="s">
        <v>992</v>
      </c>
      <c r="I15" s="11" t="s">
        <v>1041</v>
      </c>
      <c r="J15" s="11" t="s">
        <v>1041</v>
      </c>
      <c r="K15" s="11" t="str">
        <f t="shared" si="0"/>
        <v>ADM6-60-01.5-L-4-2-A-TR</v>
      </c>
    </row>
    <row r="16" spans="1:11" ht="20.100000000000001" customHeight="1" x14ac:dyDescent="0.25">
      <c r="A16" s="11" t="s">
        <v>1042</v>
      </c>
      <c r="B16" s="2" t="s">
        <v>1038</v>
      </c>
      <c r="C16" s="11" t="s">
        <v>1039</v>
      </c>
      <c r="D16" s="11" t="s">
        <v>1021</v>
      </c>
      <c r="F16" s="11" t="s">
        <v>990</v>
      </c>
      <c r="G16" s="14" t="s">
        <v>1043</v>
      </c>
      <c r="H16" s="11" t="s">
        <v>992</v>
      </c>
      <c r="I16" s="11" t="s">
        <v>1041</v>
      </c>
      <c r="J16" s="11" t="s">
        <v>1041</v>
      </c>
      <c r="K16" s="11" t="str">
        <f t="shared" si="0"/>
        <v>ADM6-60-01.5-L-4-2-A-TR</v>
      </c>
    </row>
    <row r="17" spans="1:11" ht="20.100000000000001" customHeight="1" x14ac:dyDescent="0.25">
      <c r="A17" s="11" t="s">
        <v>1044</v>
      </c>
      <c r="B17" s="11" t="s">
        <v>1045</v>
      </c>
      <c r="C17" s="11" t="s">
        <v>687</v>
      </c>
      <c r="D17" s="11" t="s">
        <v>1030</v>
      </c>
      <c r="F17" s="11" t="s">
        <v>990</v>
      </c>
      <c r="G17" s="11" t="s">
        <v>1044</v>
      </c>
      <c r="H17" s="11" t="s">
        <v>992</v>
      </c>
      <c r="J17" s="11" t="str">
        <f t="shared" si="1"/>
        <v>J0G-0001NL</v>
      </c>
      <c r="K17" s="11" t="str">
        <f t="shared" si="0"/>
        <v>J0G-0001NL</v>
      </c>
    </row>
    <row r="18" spans="1:11" ht="20.100000000000001" customHeight="1" x14ac:dyDescent="0.25">
      <c r="A18" s="11" t="s">
        <v>1046</v>
      </c>
      <c r="B18" s="11" t="s">
        <v>1047</v>
      </c>
      <c r="C18" s="11" t="s">
        <v>1048</v>
      </c>
      <c r="D18" s="11" t="s">
        <v>996</v>
      </c>
      <c r="F18" s="11" t="s">
        <v>990</v>
      </c>
      <c r="G18" s="11" t="s">
        <v>1046</v>
      </c>
      <c r="H18" s="11" t="s">
        <v>992</v>
      </c>
      <c r="I18" t="s">
        <v>1046</v>
      </c>
      <c r="J18" s="11" t="str">
        <f t="shared" si="1"/>
        <v>20021321-00050T4LF</v>
      </c>
      <c r="K18" s="11" t="str">
        <f t="shared" si="0"/>
        <v>20021321-00050T4LF</v>
      </c>
    </row>
    <row r="19" spans="1:11" ht="20.100000000000001" customHeight="1" x14ac:dyDescent="0.25">
      <c r="A19" s="11" t="s">
        <v>1049</v>
      </c>
      <c r="B19" s="11" t="s">
        <v>1050</v>
      </c>
      <c r="C19" s="11" t="s">
        <v>1051</v>
      </c>
      <c r="D19" s="11" t="s">
        <v>1021</v>
      </c>
      <c r="F19" s="11" t="s">
        <v>990</v>
      </c>
      <c r="G19" s="11" t="s">
        <v>1049</v>
      </c>
      <c r="H19" s="11" t="s">
        <v>992</v>
      </c>
      <c r="J19" s="11" t="str">
        <f t="shared" si="1"/>
        <v>2199119-2</v>
      </c>
      <c r="K19" s="11" t="str">
        <f t="shared" si="0"/>
        <v>2199119-2</v>
      </c>
    </row>
    <row r="20" spans="1:11" ht="20.100000000000001" customHeight="1" x14ac:dyDescent="0.25">
      <c r="A20" s="11" t="s">
        <v>1052</v>
      </c>
      <c r="B20" s="11" t="s">
        <v>1053</v>
      </c>
      <c r="C20" s="11" t="s">
        <v>1054</v>
      </c>
      <c r="D20" s="11" t="s">
        <v>1011</v>
      </c>
      <c r="F20" s="11" t="s">
        <v>990</v>
      </c>
      <c r="G20" s="11" t="s">
        <v>1055</v>
      </c>
      <c r="H20" s="11" t="s">
        <v>992</v>
      </c>
      <c r="J20" s="11" t="str">
        <f t="shared" si="1"/>
        <v>15EDGRC-3.81-06P-14-00A(H)</v>
      </c>
      <c r="K20" s="11" t="str">
        <f t="shared" si="0"/>
        <v>15EDGRC-3.81-06P-14-00A(H)</v>
      </c>
    </row>
    <row r="21" spans="1:11" ht="20.100000000000001" customHeight="1" x14ac:dyDescent="0.25">
      <c r="A21" s="11" t="s">
        <v>1056</v>
      </c>
      <c r="B21" s="11" t="s">
        <v>1057</v>
      </c>
      <c r="C21" s="11" t="s">
        <v>675</v>
      </c>
      <c r="D21" s="11" t="s">
        <v>996</v>
      </c>
      <c r="F21" s="11" t="s">
        <v>990</v>
      </c>
      <c r="G21" s="11" t="s">
        <v>1056</v>
      </c>
      <c r="H21" s="11" t="s">
        <v>992</v>
      </c>
      <c r="J21" s="11" t="str">
        <f t="shared" si="1"/>
        <v>61202021621</v>
      </c>
      <c r="K21" s="11" t="str">
        <f t="shared" si="0"/>
        <v>61202021621</v>
      </c>
    </row>
    <row r="22" spans="1:11" ht="20.100000000000001" customHeight="1" x14ac:dyDescent="0.25">
      <c r="A22" s="11" t="s">
        <v>1058</v>
      </c>
      <c r="B22" s="11" t="s">
        <v>1059</v>
      </c>
      <c r="C22" s="11" t="s">
        <v>1024</v>
      </c>
      <c r="D22" s="11" t="s">
        <v>1030</v>
      </c>
      <c r="F22" s="11" t="s">
        <v>990</v>
      </c>
      <c r="G22" s="11" t="s">
        <v>1058</v>
      </c>
      <c r="H22" s="11" t="s">
        <v>992</v>
      </c>
      <c r="J22" s="11" t="str">
        <f t="shared" si="1"/>
        <v>G14A421211112HR</v>
      </c>
      <c r="K22" s="11" t="str">
        <f t="shared" si="0"/>
        <v>G14A421211112HR</v>
      </c>
    </row>
    <row r="23" spans="1:11" x14ac:dyDescent="0.25">
      <c r="A23" s="11" t="s">
        <v>1060</v>
      </c>
      <c r="B23" s="11" t="s">
        <v>1061</v>
      </c>
      <c r="C23" s="11" t="s">
        <v>1024</v>
      </c>
      <c r="D23" s="11" t="s">
        <v>1030</v>
      </c>
      <c r="F23" s="11" t="s">
        <v>990</v>
      </c>
      <c r="G23" s="11" t="s">
        <v>1060</v>
      </c>
      <c r="H23" s="11" t="s">
        <v>992</v>
      </c>
      <c r="I23" s="11" t="s">
        <v>1060</v>
      </c>
      <c r="J23" s="11" t="str">
        <f t="shared" si="1"/>
        <v>G14A42221612AHR</v>
      </c>
      <c r="K23" s="11" t="str">
        <f t="shared" si="0"/>
        <v>G14A42221612AHR</v>
      </c>
    </row>
    <row r="24" spans="1:11" x14ac:dyDescent="0.25">
      <c r="A24" s="11" t="s">
        <v>1062</v>
      </c>
      <c r="B24" s="11" t="s">
        <v>1063</v>
      </c>
      <c r="C24" s="11" t="s">
        <v>1064</v>
      </c>
      <c r="D24" s="11" t="s">
        <v>1011</v>
      </c>
      <c r="F24" s="11" t="s">
        <v>990</v>
      </c>
      <c r="G24" s="11" t="s">
        <v>1062</v>
      </c>
      <c r="H24" s="11" t="s">
        <v>992</v>
      </c>
      <c r="I24" s="11" t="s">
        <v>1062</v>
      </c>
      <c r="J24" s="11" t="str">
        <f t="shared" si="1"/>
        <v>1586037-4</v>
      </c>
      <c r="K24" s="11" t="str">
        <f t="shared" si="0"/>
        <v>1586037-4</v>
      </c>
    </row>
    <row r="25" spans="1:11" x14ac:dyDescent="0.25">
      <c r="A25" s="32" t="s">
        <v>1065</v>
      </c>
      <c r="B25" s="11" t="s">
        <v>1066</v>
      </c>
      <c r="C25" s="11" t="s">
        <v>1067</v>
      </c>
      <c r="D25" s="11" t="s">
        <v>988</v>
      </c>
      <c r="E25" s="11" t="s">
        <v>1068</v>
      </c>
      <c r="F25" s="11" t="s">
        <v>990</v>
      </c>
      <c r="G25" s="11" t="s">
        <v>991</v>
      </c>
      <c r="H25" s="11" t="s">
        <v>992</v>
      </c>
      <c r="I25" s="11" t="s">
        <v>1065</v>
      </c>
      <c r="J25" s="11" t="str">
        <f t="shared" si="1"/>
        <v>81_SMP-S50-0-L1/111_N</v>
      </c>
      <c r="K25" s="11" t="str">
        <f t="shared" si="0"/>
        <v>81_SMP-S50-0-L1/111_N</v>
      </c>
    </row>
    <row r="26" spans="1:11" x14ac:dyDescent="0.25">
      <c r="A26" s="11" t="s">
        <v>1069</v>
      </c>
      <c r="B26" s="11" t="s">
        <v>1070</v>
      </c>
      <c r="C26" s="11" t="s">
        <v>1071</v>
      </c>
      <c r="D26" s="11" t="s">
        <v>996</v>
      </c>
      <c r="F26" s="11" t="s">
        <v>990</v>
      </c>
      <c r="G26" s="11" t="s">
        <v>1069</v>
      </c>
      <c r="H26" s="11" t="s">
        <v>992</v>
      </c>
      <c r="I26" s="11" t="s">
        <v>1069</v>
      </c>
      <c r="J26" s="11" t="str">
        <f t="shared" si="1"/>
        <v>S04B-PASK-2</v>
      </c>
      <c r="K26" s="11" t="str">
        <f t="shared" si="0"/>
        <v>S04B-PASK-2</v>
      </c>
    </row>
    <row r="27" spans="1:11" x14ac:dyDescent="0.25">
      <c r="B27" s="2"/>
    </row>
    <row r="31" spans="1:11" x14ac:dyDescent="0.25">
      <c r="A31" s="2"/>
      <c r="E31" s="2"/>
      <c r="I31" s="2"/>
    </row>
  </sheetData>
  <conditionalFormatting sqref="I2:I26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"/>
  <sheetViews>
    <sheetView showGridLines="0" workbookViewId="0">
      <selection activeCell="F38" sqref="F38"/>
    </sheetView>
  </sheetViews>
  <sheetFormatPr defaultRowHeight="15.75" x14ac:dyDescent="0.25"/>
  <cols>
    <col min="1" max="1" width="15.625" style="2" customWidth="1"/>
    <col min="2" max="2" width="32.625" style="2" customWidth="1"/>
    <col min="3" max="3" width="25.125" style="2" customWidth="1"/>
    <col min="4" max="4" width="18.75" style="2" customWidth="1"/>
    <col min="5" max="5" width="34.125" style="2" customWidth="1"/>
    <col min="6" max="6" width="20.375" style="2" customWidth="1"/>
    <col min="7" max="7" width="34.875" style="2" customWidth="1"/>
    <col min="8" max="8" width="16.5" style="2" customWidth="1"/>
    <col min="9" max="9" width="13.625" style="2" customWidth="1"/>
    <col min="10" max="10" width="15.125" style="2" customWidth="1"/>
    <col min="11" max="11" width="13" style="2" customWidth="1"/>
    <col min="12" max="12" width="11.875" style="2" customWidth="1"/>
    <col min="13" max="16384" width="9" style="2"/>
  </cols>
  <sheetData>
    <row r="1" spans="1:12" x14ac:dyDescent="0.25">
      <c r="A1" s="11" t="s">
        <v>0</v>
      </c>
      <c r="B1" s="11" t="s">
        <v>1</v>
      </c>
      <c r="C1" s="11" t="s">
        <v>2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</row>
    <row r="2" spans="1:12" x14ac:dyDescent="0.25">
      <c r="A2" s="2" t="s">
        <v>1072</v>
      </c>
      <c r="B2" s="2" t="s">
        <v>1073</v>
      </c>
      <c r="C2" s="2" t="s">
        <v>602</v>
      </c>
      <c r="D2" s="2" t="s">
        <v>1074</v>
      </c>
      <c r="E2" s="2" t="s">
        <v>1075</v>
      </c>
      <c r="F2" s="2" t="s">
        <v>1076</v>
      </c>
      <c r="G2" s="11" t="s">
        <v>1077</v>
      </c>
      <c r="H2" s="2" t="s">
        <v>1078</v>
      </c>
      <c r="K2" s="2" t="str">
        <f>"Q-"&amp;F2</f>
        <v>Q-Si4101DY</v>
      </c>
      <c r="L2" s="2" t="str">
        <f>K2</f>
        <v>Q-Si4101DY</v>
      </c>
    </row>
    <row r="3" spans="1:12" x14ac:dyDescent="0.25">
      <c r="A3" s="2" t="s">
        <v>1079</v>
      </c>
      <c r="B3" s="2" t="s">
        <v>1080</v>
      </c>
      <c r="C3" s="2" t="s">
        <v>1081</v>
      </c>
      <c r="D3" s="2" t="s">
        <v>1341</v>
      </c>
      <c r="E3" s="2" t="s">
        <v>1075</v>
      </c>
      <c r="F3" s="2" t="s">
        <v>1079</v>
      </c>
      <c r="G3" s="11" t="s">
        <v>1077</v>
      </c>
      <c r="H3" s="2" t="s">
        <v>1082</v>
      </c>
      <c r="K3" s="2" t="str">
        <f>"Q-"&amp;F3</f>
        <v>Q-BC817</v>
      </c>
      <c r="L3" s="2" t="str">
        <f>K3</f>
        <v>Q-BC817</v>
      </c>
    </row>
    <row r="4" spans="1:12" x14ac:dyDescent="0.25">
      <c r="A4" s="2" t="s">
        <v>1083</v>
      </c>
      <c r="B4" s="2" t="s">
        <v>1084</v>
      </c>
      <c r="C4" s="2" t="s">
        <v>1085</v>
      </c>
      <c r="D4" s="2" t="s">
        <v>1086</v>
      </c>
      <c r="E4" s="2" t="s">
        <v>1075</v>
      </c>
      <c r="F4" s="2" t="s">
        <v>1083</v>
      </c>
      <c r="G4" s="11" t="s">
        <v>1077</v>
      </c>
      <c r="H4" s="2" t="s">
        <v>1082</v>
      </c>
      <c r="K4" s="2" t="str">
        <f>"Q-"&amp;F4</f>
        <v>Q-IRLML2060TRPBF</v>
      </c>
      <c r="L4" s="2" t="str">
        <f>K4</f>
        <v>Q-IRLML2060TRPBF</v>
      </c>
    </row>
    <row r="5" spans="1:12" x14ac:dyDescent="0.25">
      <c r="A5" s="2" t="s">
        <v>1087</v>
      </c>
      <c r="B5" s="2" t="s">
        <v>1088</v>
      </c>
      <c r="C5" s="2" t="s">
        <v>602</v>
      </c>
      <c r="D5" s="2" t="s">
        <v>1086</v>
      </c>
      <c r="E5" s="2" t="s">
        <v>1075</v>
      </c>
      <c r="F5" s="2" t="s">
        <v>1087</v>
      </c>
      <c r="G5" s="11" t="s">
        <v>1077</v>
      </c>
      <c r="K5" s="2" t="str">
        <f>"Q-"&amp;F5</f>
        <v>Q-Si7232DN</v>
      </c>
      <c r="L5" s="2" t="str">
        <f>K5</f>
        <v>Q-Si7232DN</v>
      </c>
    </row>
  </sheetData>
  <conditionalFormatting sqref="H2:H5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ABBA-8FB1-4A06-9817-B7D736D6A608}">
  <dimension ref="A1:J5"/>
  <sheetViews>
    <sheetView workbookViewId="0">
      <selection activeCell="A5" sqref="A5"/>
    </sheetView>
  </sheetViews>
  <sheetFormatPr defaultRowHeight="15.75" x14ac:dyDescent="0.25"/>
  <cols>
    <col min="1" max="1" width="19.375" customWidth="1"/>
    <col min="2" max="2" width="25.25" customWidth="1"/>
    <col min="3" max="3" width="18.625" customWidth="1"/>
    <col min="4" max="4" width="16.125" customWidth="1"/>
    <col min="5" max="5" width="18" customWidth="1"/>
    <col min="6" max="6" width="16.625" customWidth="1"/>
    <col min="7" max="7" width="33.125" customWidth="1"/>
    <col min="8" max="8" width="22.625" customWidth="1"/>
    <col min="9" max="9" width="13.375" customWidth="1"/>
    <col min="10" max="10" width="22.75" customWidth="1"/>
    <col min="11" max="11" width="26.125" customWidth="1"/>
  </cols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9</v>
      </c>
      <c r="F1" s="11" t="s">
        <v>10</v>
      </c>
      <c r="G1" s="11" t="s">
        <v>156</v>
      </c>
      <c r="H1" s="11" t="s">
        <v>157</v>
      </c>
      <c r="I1" s="11" t="s">
        <v>15</v>
      </c>
      <c r="J1" s="11" t="s">
        <v>16</v>
      </c>
    </row>
    <row r="2" spans="1:10" ht="31.5" x14ac:dyDescent="0.25">
      <c r="A2" s="11" t="s">
        <v>1089</v>
      </c>
      <c r="B2" s="3" t="s">
        <v>1090</v>
      </c>
      <c r="C2" s="5" t="s">
        <v>1091</v>
      </c>
      <c r="D2" s="5" t="s">
        <v>1092</v>
      </c>
      <c r="E2" s="11" t="s">
        <v>1093</v>
      </c>
      <c r="F2" s="11" t="s">
        <v>1094</v>
      </c>
      <c r="G2" s="11" t="s">
        <v>1095</v>
      </c>
      <c r="H2" s="5" t="s">
        <v>1092</v>
      </c>
      <c r="I2" s="12" t="str">
        <f>"D-"&amp;A2</f>
        <v>D-SS24FL</v>
      </c>
      <c r="J2" s="5" t="str">
        <f t="shared" ref="J2:J3" si="0">I2</f>
        <v>D-SS24FL</v>
      </c>
    </row>
    <row r="3" spans="1:10" s="11" customFormat="1" ht="31.5" x14ac:dyDescent="0.25">
      <c r="A3" s="5" t="s">
        <v>1096</v>
      </c>
      <c r="B3" s="3" t="s">
        <v>1097</v>
      </c>
      <c r="C3" s="11" t="s">
        <v>1091</v>
      </c>
      <c r="D3" s="5" t="s">
        <v>1098</v>
      </c>
      <c r="E3" s="11" t="s">
        <v>1093</v>
      </c>
      <c r="F3" s="11" t="s">
        <v>1094</v>
      </c>
      <c r="G3" s="11" t="s">
        <v>1095</v>
      </c>
      <c r="H3" s="12" t="s">
        <v>1098</v>
      </c>
      <c r="I3" s="12" t="str">
        <f>"D-"&amp;A3</f>
        <v>D-MBRA160T3G</v>
      </c>
      <c r="J3" s="12" t="str">
        <f t="shared" si="0"/>
        <v>D-MBRA160T3G</v>
      </c>
    </row>
    <row r="4" spans="1:10" x14ac:dyDescent="0.25">
      <c r="A4" s="5" t="s">
        <v>1362</v>
      </c>
      <c r="B4" s="37" t="s">
        <v>1365</v>
      </c>
      <c r="C4" s="5" t="s">
        <v>1364</v>
      </c>
      <c r="D4" s="5" t="s">
        <v>1363</v>
      </c>
      <c r="E4" s="11" t="s">
        <v>1093</v>
      </c>
      <c r="F4" s="11" t="s">
        <v>1094</v>
      </c>
      <c r="G4" s="11" t="s">
        <v>1095</v>
      </c>
      <c r="H4" s="5" t="s">
        <v>1363</v>
      </c>
      <c r="I4" s="12" t="str">
        <f>"D-"&amp;A4</f>
        <v>D-SS54B</v>
      </c>
      <c r="J4" s="12" t="str">
        <f>I4</f>
        <v>D-SS54B</v>
      </c>
    </row>
    <row r="5" spans="1:10" x14ac:dyDescent="0.25">
      <c r="A5" s="37" t="s">
        <v>1399</v>
      </c>
      <c r="B5" s="5" t="s">
        <v>1400</v>
      </c>
      <c r="C5" s="5" t="s">
        <v>1401</v>
      </c>
      <c r="D5" s="37" t="s">
        <v>1402</v>
      </c>
      <c r="E5" s="11" t="s">
        <v>1093</v>
      </c>
      <c r="F5" s="11" t="s">
        <v>1094</v>
      </c>
      <c r="G5" s="11" t="s">
        <v>1095</v>
      </c>
      <c r="H5" s="37" t="s">
        <v>1402</v>
      </c>
      <c r="I5" s="12" t="str">
        <f>"D-"&amp;A5</f>
        <v>D-RB058LAM-60</v>
      </c>
      <c r="J5" s="12" t="str">
        <f>I5</f>
        <v>D-RB058LAM-60</v>
      </c>
    </row>
  </sheetData>
  <conditionalFormatting sqref="H2:H3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showGridLines="0" topLeftCell="B1" workbookViewId="0">
      <selection activeCell="H26" sqref="H26"/>
    </sheetView>
  </sheetViews>
  <sheetFormatPr defaultColWidth="11.125" defaultRowHeight="15.75" x14ac:dyDescent="0.25"/>
  <cols>
    <col min="1" max="1" width="49" style="11" customWidth="1"/>
    <col min="2" max="2" width="71.25" style="11" customWidth="1"/>
    <col min="3" max="3" width="33.125" style="11" customWidth="1"/>
    <col min="4" max="4" width="16.125" style="11" customWidth="1"/>
    <col min="5" max="5" width="26.5" style="11" customWidth="1"/>
    <col min="6" max="6" width="24" style="11" customWidth="1"/>
    <col min="7" max="7" width="27.875" style="11" customWidth="1"/>
    <col min="8" max="8" width="14.625" style="11" customWidth="1"/>
    <col min="9" max="9" width="23.125" style="11" customWidth="1"/>
    <col min="10" max="10" width="22.375" style="11" customWidth="1"/>
    <col min="11" max="16384" width="11.125" style="11"/>
  </cols>
  <sheetData>
    <row r="1" spans="1:1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9</v>
      </c>
      <c r="F1" s="11" t="s">
        <v>10</v>
      </c>
      <c r="G1" s="11" t="s">
        <v>156</v>
      </c>
      <c r="H1" s="11" t="s">
        <v>157</v>
      </c>
      <c r="I1" s="28" t="s">
        <v>15</v>
      </c>
      <c r="J1" s="11" t="s">
        <v>158</v>
      </c>
    </row>
    <row r="2" spans="1:10" x14ac:dyDescent="0.25">
      <c r="A2" s="11" t="s">
        <v>1089</v>
      </c>
      <c r="B2" s="3" t="s">
        <v>1090</v>
      </c>
      <c r="C2" s="2" t="s">
        <v>1091</v>
      </c>
      <c r="D2" s="2" t="s">
        <v>1092</v>
      </c>
      <c r="E2" s="11" t="s">
        <v>1093</v>
      </c>
      <c r="F2" s="11" t="s">
        <v>1094</v>
      </c>
      <c r="G2" s="11" t="s">
        <v>1095</v>
      </c>
      <c r="H2" s="2" t="s">
        <v>1092</v>
      </c>
      <c r="I2" s="12" t="str">
        <f>"D-"&amp;A2</f>
        <v>D-SS24FL</v>
      </c>
      <c r="J2" s="12" t="str">
        <f>I2</f>
        <v>D-SS24FL</v>
      </c>
    </row>
    <row r="3" spans="1:10" x14ac:dyDescent="0.25">
      <c r="A3" s="2" t="s">
        <v>1096</v>
      </c>
      <c r="B3" s="3" t="s">
        <v>1097</v>
      </c>
      <c r="C3" s="11" t="s">
        <v>1091</v>
      </c>
      <c r="D3" s="2" t="s">
        <v>1098</v>
      </c>
      <c r="E3" s="11" t="s">
        <v>1093</v>
      </c>
      <c r="F3" s="11" t="s">
        <v>1094</v>
      </c>
      <c r="G3" s="11" t="s">
        <v>1095</v>
      </c>
      <c r="H3" s="2" t="s">
        <v>1098</v>
      </c>
      <c r="I3" s="12" t="str">
        <f>"D-"&amp;A3</f>
        <v>D-MBRA160T3G</v>
      </c>
      <c r="J3" s="12" t="str">
        <f>I3</f>
        <v>D-MBRA160T3G</v>
      </c>
    </row>
    <row r="4" spans="1:10" x14ac:dyDescent="0.25">
      <c r="A4" s="11" t="s">
        <v>1099</v>
      </c>
      <c r="B4" s="3" t="s">
        <v>1100</v>
      </c>
      <c r="E4" s="11" t="s">
        <v>1101</v>
      </c>
      <c r="F4" s="11" t="s">
        <v>1099</v>
      </c>
      <c r="G4" s="11" t="s">
        <v>1102</v>
      </c>
      <c r="H4" s="11" t="s">
        <v>1099</v>
      </c>
      <c r="I4" t="str">
        <f>"D-"&amp;A4</f>
        <v>D-REPER</v>
      </c>
      <c r="J4" t="str">
        <f>I4</f>
        <v>D-REPER</v>
      </c>
    </row>
    <row r="5" spans="1:10" x14ac:dyDescent="0.25">
      <c r="A5" s="11" t="s">
        <v>1103</v>
      </c>
      <c r="B5" s="11" t="s">
        <v>1104</v>
      </c>
      <c r="E5" s="11" t="s">
        <v>1101</v>
      </c>
      <c r="F5" s="11" t="s">
        <v>1099</v>
      </c>
      <c r="G5" s="11" t="s">
        <v>1102</v>
      </c>
      <c r="H5" s="11" t="s">
        <v>1103</v>
      </c>
      <c r="I5" t="str">
        <f>"D-"&amp;A5</f>
        <v>D-CP</v>
      </c>
      <c r="J5" t="str">
        <f>I5</f>
        <v>D-CP</v>
      </c>
    </row>
    <row r="6" spans="1:10" x14ac:dyDescent="0.25">
      <c r="A6" s="11" t="s">
        <v>1105</v>
      </c>
      <c r="B6" s="2" t="s">
        <v>1106</v>
      </c>
      <c r="C6" s="11" t="s">
        <v>1107</v>
      </c>
      <c r="D6" s="11" t="s">
        <v>1082</v>
      </c>
      <c r="E6" s="11" t="s">
        <v>1093</v>
      </c>
      <c r="F6" s="11" t="s">
        <v>1108</v>
      </c>
      <c r="G6" s="11" t="s">
        <v>1095</v>
      </c>
      <c r="H6" s="11" t="s">
        <v>1082</v>
      </c>
      <c r="I6" s="12" t="str">
        <f t="shared" ref="I6:I17" si="0">"D-"&amp;A6</f>
        <v>D-BZX84C13</v>
      </c>
      <c r="J6" s="12" t="str">
        <f t="shared" ref="J6:J17" si="1">I6</f>
        <v>D-BZX84C13</v>
      </c>
    </row>
    <row r="7" spans="1:10" x14ac:dyDescent="0.25">
      <c r="A7" s="11" t="s">
        <v>1109</v>
      </c>
      <c r="B7" s="2" t="s">
        <v>1110</v>
      </c>
      <c r="C7" s="11" t="s">
        <v>1111</v>
      </c>
      <c r="D7" s="2">
        <v>7050</v>
      </c>
      <c r="E7" s="11" t="s">
        <v>1101</v>
      </c>
      <c r="F7" s="11" t="s">
        <v>1112</v>
      </c>
      <c r="G7" s="11" t="s">
        <v>1102</v>
      </c>
      <c r="H7" s="11" t="s">
        <v>697</v>
      </c>
      <c r="I7" s="12" t="str">
        <f t="shared" si="0"/>
        <v>D-ECS-LVDS33-1000-BN</v>
      </c>
      <c r="J7" s="12" t="str">
        <f t="shared" si="1"/>
        <v>D-ECS-LVDS33-1000-BN</v>
      </c>
    </row>
    <row r="8" spans="1:10" x14ac:dyDescent="0.25">
      <c r="A8" s="11" t="s">
        <v>1113</v>
      </c>
      <c r="B8" s="2" t="s">
        <v>1114</v>
      </c>
      <c r="C8" s="11" t="s">
        <v>1115</v>
      </c>
      <c r="D8" s="2" t="s">
        <v>1116</v>
      </c>
      <c r="E8" s="11" t="s">
        <v>1101</v>
      </c>
      <c r="F8" s="11" t="s">
        <v>1113</v>
      </c>
      <c r="G8" s="11" t="s">
        <v>167</v>
      </c>
      <c r="H8" s="2" t="s">
        <v>1117</v>
      </c>
      <c r="I8" s="12" t="str">
        <f t="shared" si="0"/>
        <v>D-LSM6DS3TR-C</v>
      </c>
      <c r="J8" s="12" t="str">
        <f t="shared" si="1"/>
        <v>D-LSM6DS3TR-C</v>
      </c>
    </row>
    <row r="9" spans="1:10" x14ac:dyDescent="0.25">
      <c r="A9" s="11" t="s">
        <v>1118</v>
      </c>
      <c r="B9" s="2" t="s">
        <v>1119</v>
      </c>
      <c r="C9" s="11" t="s">
        <v>204</v>
      </c>
      <c r="D9" s="11" t="s">
        <v>1120</v>
      </c>
      <c r="E9" s="11" t="s">
        <v>1101</v>
      </c>
      <c r="F9" s="11" t="s">
        <v>1118</v>
      </c>
      <c r="G9" s="11" t="s">
        <v>167</v>
      </c>
      <c r="H9" s="11" t="s">
        <v>1120</v>
      </c>
      <c r="I9" s="12" t="str">
        <f t="shared" si="0"/>
        <v>D-SN74LVC1G08DCKRE4</v>
      </c>
      <c r="J9" s="12" t="str">
        <f t="shared" si="1"/>
        <v>D-SN74LVC1G08DCKRE4</v>
      </c>
    </row>
    <row r="10" spans="1:10" s="15" customFormat="1" x14ac:dyDescent="0.25">
      <c r="A10" s="15" t="s">
        <v>1121</v>
      </c>
      <c r="B10" s="2" t="s">
        <v>1122</v>
      </c>
      <c r="C10" s="15" t="s">
        <v>732</v>
      </c>
      <c r="D10" s="2" t="s">
        <v>1123</v>
      </c>
      <c r="E10" s="11" t="s">
        <v>1124</v>
      </c>
      <c r="F10" s="11" t="s">
        <v>1121</v>
      </c>
      <c r="H10" s="11"/>
      <c r="I10" s="15" t="str">
        <f t="shared" si="0"/>
        <v>D-TCM1-63AX+</v>
      </c>
      <c r="J10" s="15" t="str">
        <f t="shared" si="1"/>
        <v>D-TCM1-63AX+</v>
      </c>
    </row>
    <row r="11" spans="1:10" s="15" customFormat="1" x14ac:dyDescent="0.25">
      <c r="A11" s="15" t="s">
        <v>1125</v>
      </c>
      <c r="B11" s="15" t="s">
        <v>1126</v>
      </c>
      <c r="C11" s="15" t="s">
        <v>1127</v>
      </c>
      <c r="E11" s="11" t="s">
        <v>1101</v>
      </c>
      <c r="F11" s="11" t="s">
        <v>1125</v>
      </c>
      <c r="H11" s="11"/>
      <c r="I11" s="15" t="str">
        <f t="shared" si="0"/>
        <v>D-CX3225SB12000H0FLJCC</v>
      </c>
      <c r="J11" s="15" t="str">
        <f t="shared" si="1"/>
        <v>D-CX3225SB12000H0FLJCC</v>
      </c>
    </row>
    <row r="12" spans="1:10" x14ac:dyDescent="0.25">
      <c r="A12" s="11" t="s">
        <v>1128</v>
      </c>
      <c r="B12" s="11" t="s">
        <v>1129</v>
      </c>
      <c r="C12" s="11" t="s">
        <v>1130</v>
      </c>
      <c r="E12" s="11" t="s">
        <v>1101</v>
      </c>
      <c r="F12" s="11" t="s">
        <v>1131</v>
      </c>
      <c r="I12" s="15" t="str">
        <f t="shared" si="0"/>
        <v>D-1825140-2</v>
      </c>
      <c r="J12" s="15" t="str">
        <f t="shared" si="1"/>
        <v>D-1825140-2</v>
      </c>
    </row>
    <row r="13" spans="1:10" x14ac:dyDescent="0.25">
      <c r="A13" s="11" t="s">
        <v>1132</v>
      </c>
      <c r="B13" s="11" t="s">
        <v>1133</v>
      </c>
      <c r="C13" s="11" t="s">
        <v>1134</v>
      </c>
      <c r="D13" s="11" t="s">
        <v>90</v>
      </c>
      <c r="E13" s="11" t="s">
        <v>1135</v>
      </c>
      <c r="F13" s="11" t="s">
        <v>1136</v>
      </c>
      <c r="G13" s="11" t="s">
        <v>323</v>
      </c>
      <c r="H13" s="11" t="s">
        <v>1137</v>
      </c>
      <c r="I13" s="15" t="str">
        <f t="shared" si="0"/>
        <v>D-LTST-C191KGKT</v>
      </c>
      <c r="J13" s="15" t="str">
        <f t="shared" si="1"/>
        <v>D-LTST-C191KGKT</v>
      </c>
    </row>
    <row r="14" spans="1:10" s="15" customFormat="1" x14ac:dyDescent="0.25">
      <c r="A14" s="15" t="s">
        <v>1138</v>
      </c>
      <c r="B14" s="15" t="s">
        <v>1139</v>
      </c>
      <c r="C14" s="15" t="s">
        <v>1140</v>
      </c>
      <c r="E14" s="11" t="s">
        <v>1101</v>
      </c>
      <c r="F14" s="15" t="s">
        <v>1141</v>
      </c>
      <c r="I14" s="15" t="str">
        <f t="shared" si="0"/>
        <v>D-B3U-1100P-B</v>
      </c>
      <c r="J14" s="15" t="str">
        <f t="shared" si="1"/>
        <v>D-B3U-1100P-B</v>
      </c>
    </row>
    <row r="15" spans="1:10" x14ac:dyDescent="0.25">
      <c r="A15" s="11" t="s">
        <v>1142</v>
      </c>
      <c r="B15" s="11" t="s">
        <v>1143</v>
      </c>
      <c r="C15" s="11" t="s">
        <v>1144</v>
      </c>
      <c r="E15" s="11" t="s">
        <v>1101</v>
      </c>
      <c r="F15" s="11" t="s">
        <v>1131</v>
      </c>
      <c r="I15" s="15" t="str">
        <f t="shared" si="0"/>
        <v>D-CT2064-ND</v>
      </c>
      <c r="J15" s="15" t="str">
        <f t="shared" si="1"/>
        <v>D-CT2064-ND</v>
      </c>
    </row>
    <row r="16" spans="1:10" x14ac:dyDescent="0.25">
      <c r="A16" s="11" t="s">
        <v>1145</v>
      </c>
      <c r="B16" s="11" t="s">
        <v>1342</v>
      </c>
      <c r="C16" s="11" t="s">
        <v>1146</v>
      </c>
      <c r="E16" s="11" t="s">
        <v>1101</v>
      </c>
      <c r="F16" s="11" t="s">
        <v>1147</v>
      </c>
      <c r="I16" s="15" t="str">
        <f t="shared" si="0"/>
        <v>D-SM712-02HTG</v>
      </c>
      <c r="J16" s="15" t="str">
        <f t="shared" si="1"/>
        <v>D-SM712-02HTG</v>
      </c>
    </row>
    <row r="17" spans="1:10" x14ac:dyDescent="0.25">
      <c r="A17" s="2" t="s">
        <v>1148</v>
      </c>
      <c r="B17" s="2" t="s">
        <v>1149</v>
      </c>
      <c r="C17" s="11" t="s">
        <v>1091</v>
      </c>
      <c r="D17" s="2" t="s">
        <v>1150</v>
      </c>
      <c r="E17" s="11" t="s">
        <v>1101</v>
      </c>
      <c r="F17" s="11" t="s">
        <v>1148</v>
      </c>
      <c r="I17" s="15" t="str">
        <f t="shared" si="0"/>
        <v>D-PESD3V3L1BA</v>
      </c>
      <c r="J17" s="15" t="str">
        <f t="shared" si="1"/>
        <v>D-PESD3V3L1BA</v>
      </c>
    </row>
    <row r="18" spans="1:10" x14ac:dyDescent="0.25">
      <c r="A18" s="11" t="s">
        <v>1151</v>
      </c>
      <c r="B18" s="11" t="s">
        <v>1104</v>
      </c>
      <c r="E18" s="11" t="s">
        <v>1101</v>
      </c>
      <c r="F18" s="11" t="s">
        <v>1099</v>
      </c>
      <c r="G18" s="11" t="s">
        <v>1102</v>
      </c>
      <c r="H18" s="11" t="s">
        <v>1151</v>
      </c>
      <c r="I18" s="15" t="str">
        <f>"D-"&amp;A18</f>
        <v>D-CP_0402</v>
      </c>
      <c r="J18" s="15" t="str">
        <f>I18</f>
        <v>D-CP_0402</v>
      </c>
    </row>
    <row r="19" spans="1:10" x14ac:dyDescent="0.25">
      <c r="A19" s="11" t="s">
        <v>1152</v>
      </c>
      <c r="B19" s="11" t="s">
        <v>1153</v>
      </c>
      <c r="E19" s="11" t="s">
        <v>1101</v>
      </c>
      <c r="F19" s="11" t="s">
        <v>1154</v>
      </c>
      <c r="I19" s="15" t="str">
        <f>"D-"&amp;A19</f>
        <v>D-Antenna</v>
      </c>
      <c r="J19" s="15" t="str">
        <f>I19</f>
        <v>D-Antenna</v>
      </c>
    </row>
    <row r="20" spans="1:10" x14ac:dyDescent="0.25">
      <c r="A20" s="11" t="s">
        <v>1155</v>
      </c>
      <c r="B20" s="11" t="s">
        <v>1156</v>
      </c>
      <c r="E20" s="11" t="s">
        <v>1101</v>
      </c>
      <c r="F20" s="11" t="s">
        <v>1155</v>
      </c>
      <c r="G20" s="11" t="s">
        <v>1102</v>
      </c>
      <c r="H20" s="11" t="s">
        <v>1155</v>
      </c>
      <c r="I20" t="str">
        <f>"D-"&amp;A20</f>
        <v>D-S_Band_Radiator_Niz</v>
      </c>
      <c r="J20" t="str">
        <f>I20</f>
        <v>D-S_Band_Radiator_Niz</v>
      </c>
    </row>
    <row r="21" spans="1:10" x14ac:dyDescent="0.25">
      <c r="A21" s="11" t="s">
        <v>1157</v>
      </c>
      <c r="B21" s="11" t="s">
        <v>1157</v>
      </c>
      <c r="E21" s="11" t="s">
        <v>1101</v>
      </c>
      <c r="F21" s="11" t="s">
        <v>1157</v>
      </c>
      <c r="G21" s="11" t="s">
        <v>1102</v>
      </c>
      <c r="H21" s="11" t="s">
        <v>1157</v>
      </c>
      <c r="I21" t="str">
        <f>"D-"&amp;A21</f>
        <v>D-Net_Tie</v>
      </c>
      <c r="J21" t="str">
        <f>I21</f>
        <v>D-Net_Tie</v>
      </c>
    </row>
    <row r="22" spans="1:10" x14ac:dyDescent="0.25">
      <c r="A22" s="11" t="s">
        <v>1406</v>
      </c>
      <c r="B22" s="11" t="s">
        <v>1408</v>
      </c>
      <c r="E22" s="11" t="s">
        <v>1101</v>
      </c>
      <c r="F22" s="11" t="s">
        <v>1407</v>
      </c>
      <c r="G22" s="11" t="s">
        <v>1102</v>
      </c>
      <c r="H22" s="11" t="s">
        <v>1407</v>
      </c>
      <c r="I22"/>
      <c r="J22"/>
    </row>
    <row r="23" spans="1:10" x14ac:dyDescent="0.25">
      <c r="A23"/>
      <c r="B23"/>
      <c r="C23"/>
      <c r="D23"/>
      <c r="E23"/>
      <c r="F23"/>
      <c r="G23"/>
      <c r="H23"/>
      <c r="I23" t="str">
        <f t="shared" ref="I23" si="2">""</f>
        <v/>
      </c>
      <c r="J23" t="str">
        <f t="shared" ref="J23" si="3">I23</f>
        <v/>
      </c>
    </row>
    <row r="24" spans="1:10" x14ac:dyDescent="0.25">
      <c r="A24"/>
      <c r="B24"/>
      <c r="C24"/>
      <c r="D24"/>
      <c r="E24"/>
      <c r="F24"/>
      <c r="G24"/>
      <c r="H24"/>
      <c r="I24"/>
      <c r="J24"/>
    </row>
    <row r="25" spans="1:10" x14ac:dyDescent="0.25">
      <c r="A25"/>
      <c r="B25"/>
      <c r="C25"/>
      <c r="D25"/>
      <c r="E25"/>
      <c r="F25"/>
      <c r="G25"/>
      <c r="H25"/>
      <c r="I25"/>
      <c r="J25"/>
    </row>
    <row r="26" spans="1:10" x14ac:dyDescent="0.25">
      <c r="A26"/>
      <c r="B26"/>
      <c r="C26"/>
      <c r="D26"/>
      <c r="E26"/>
      <c r="F26"/>
      <c r="G26"/>
      <c r="H26"/>
      <c r="I26"/>
      <c r="J26"/>
    </row>
    <row r="27" spans="1:10" x14ac:dyDescent="0.25">
      <c r="A27"/>
      <c r="B27"/>
      <c r="C27"/>
      <c r="D27"/>
      <c r="E27"/>
      <c r="F27"/>
      <c r="G27"/>
      <c r="H27"/>
      <c r="I27"/>
      <c r="J27"/>
    </row>
    <row r="28" spans="1:10" x14ac:dyDescent="0.25">
      <c r="A28"/>
      <c r="B28"/>
      <c r="C28"/>
      <c r="D28"/>
      <c r="E28"/>
      <c r="F28"/>
      <c r="G28"/>
      <c r="H28"/>
      <c r="I28"/>
      <c r="J28"/>
    </row>
  </sheetData>
  <conditionalFormatting sqref="H2:H21 H23">
    <cfRule type="containsBlanks" priority="1"/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"/>
  <sheetViews>
    <sheetView showGridLines="0" workbookViewId="0"/>
  </sheetViews>
  <sheetFormatPr defaultRowHeight="15.75" x14ac:dyDescent="0.25"/>
  <cols>
    <col min="1" max="1" width="20.25" customWidth="1"/>
    <col min="2" max="2" width="25.25" customWidth="1"/>
    <col min="3" max="4" width="25.625" customWidth="1"/>
    <col min="5" max="5" width="31.75" customWidth="1"/>
    <col min="6" max="6" width="27.25" customWidth="1"/>
    <col min="7" max="7" width="23" customWidth="1"/>
    <col min="8" max="8" width="20.375" customWidth="1"/>
    <col min="9" max="9" width="16.375" customWidth="1"/>
    <col min="10" max="10" width="12.625" customWidth="1"/>
  </cols>
  <sheetData>
    <row r="1" spans="1:10" s="2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9</v>
      </c>
      <c r="F1" s="11" t="s">
        <v>10</v>
      </c>
      <c r="G1" s="11" t="s">
        <v>156</v>
      </c>
      <c r="H1" s="11" t="s">
        <v>157</v>
      </c>
      <c r="I1" s="20" t="s">
        <v>15</v>
      </c>
      <c r="J1" s="24" t="s">
        <v>158</v>
      </c>
    </row>
    <row r="2" spans="1:10" x14ac:dyDescent="0.25">
      <c r="A2" s="2" t="s">
        <v>1293</v>
      </c>
      <c r="B2" t="s">
        <v>1294</v>
      </c>
      <c r="C2" s="2" t="s">
        <v>1295</v>
      </c>
      <c r="D2" s="2" t="s">
        <v>1296</v>
      </c>
      <c r="E2" t="s">
        <v>1297</v>
      </c>
      <c r="F2" t="s">
        <v>1293</v>
      </c>
      <c r="G2" s="2" t="s">
        <v>167</v>
      </c>
      <c r="I2" t="str">
        <f>A2</f>
        <v>XC7S50-1FTGB196C</v>
      </c>
      <c r="J2" t="str">
        <f>I2</f>
        <v>XC7S50-1FTGB196C</v>
      </c>
    </row>
    <row r="3" spans="1:10" x14ac:dyDescent="0.25">
      <c r="B3" s="2"/>
    </row>
  </sheetData>
  <conditionalFormatting sqref="H2">
    <cfRule type="containsBlanks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Capacitors_General</vt:lpstr>
      <vt:lpstr>Capacitors_RF</vt:lpstr>
      <vt:lpstr>Resistors</vt:lpstr>
      <vt:lpstr>Inductors_RF</vt:lpstr>
      <vt:lpstr>Inductors_Power</vt:lpstr>
      <vt:lpstr>Filters</vt:lpstr>
      <vt:lpstr>IC_Power</vt:lpstr>
      <vt:lpstr>IC_Analog</vt:lpstr>
      <vt:lpstr>IC_DIGITAL</vt:lpstr>
      <vt:lpstr>IC_RF</vt:lpstr>
      <vt:lpstr>Connectors</vt:lpstr>
      <vt:lpstr>Transistors</vt:lpstr>
      <vt:lpstr>Diodes</vt:lpstr>
      <vt:lpstr>Misc</vt:lpstr>
      <vt:lpstr>FPGA_MCU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Andrey Bugaev</cp:lastModifiedBy>
  <dcterms:created xsi:type="dcterms:W3CDTF">2026-08-28T11:14:47Z</dcterms:created>
  <dcterms:modified xsi:type="dcterms:W3CDTF">2026-10-12T13:28:54Z</dcterms:modified>
</cp:coreProperties>
</file>