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CE1D668B-3699-4997-84C8-C027BBABB565}" xr6:coauthVersionLast="47" xr6:coauthVersionMax="47" xr10:uidLastSave="{00000000-0000-0000-0000-000000000000}"/>
  <bookViews>
    <workbookView xWindow="-120" yWindow="-120" windowWidth="38640" windowHeight="21120" tabRatio="771" firstSheet="1" activeTab="3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  <sheet name="FPGA_MCU" sheetId="18" r:id="rId14"/>
  </sheets>
  <definedNames>
    <definedName name="_xlnm._FilterDatabase" localSheetId="0" hidden="1">Capacitors_General!$B$1:$Q$41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9" i="2" l="1"/>
  <c r="L99" i="2" s="1"/>
  <c r="J99" i="2"/>
  <c r="K12" i="12"/>
  <c r="J12" i="12"/>
  <c r="J79" i="4"/>
  <c r="K79" i="4" s="1"/>
  <c r="K98" i="2"/>
  <c r="L98" i="2" s="1"/>
  <c r="J98" i="2"/>
  <c r="K97" i="2"/>
  <c r="L97" i="2" s="1"/>
  <c r="J97" i="2"/>
  <c r="K96" i="2"/>
  <c r="L96" i="2" s="1"/>
  <c r="J96" i="2"/>
  <c r="K95" i="2"/>
  <c r="L95" i="2" s="1"/>
  <c r="J95" i="2"/>
  <c r="K94" i="2"/>
  <c r="L94" i="2" s="1"/>
  <c r="J94" i="2"/>
  <c r="K77" i="4"/>
  <c r="J77" i="4"/>
  <c r="J78" i="4"/>
  <c r="K78" i="4" s="1"/>
  <c r="J76" i="4"/>
  <c r="K76" i="4" s="1"/>
  <c r="J75" i="4"/>
  <c r="K75" i="4" s="1"/>
  <c r="J74" i="4"/>
  <c r="K74" i="4" s="1"/>
  <c r="J73" i="4"/>
  <c r="K73" i="4" s="1"/>
  <c r="J72" i="4"/>
  <c r="K72" i="4" s="1"/>
  <c r="J71" i="4"/>
  <c r="K71" i="4" s="1"/>
  <c r="J70" i="4"/>
  <c r="K70" i="4" s="1"/>
  <c r="J69" i="4"/>
  <c r="K69" i="4" s="1"/>
  <c r="J68" i="4"/>
  <c r="K68" i="4" s="1"/>
  <c r="J67" i="4"/>
  <c r="K67" i="4" s="1"/>
  <c r="J66" i="4"/>
  <c r="K66" i="4" s="1"/>
  <c r="J65" i="4"/>
  <c r="K65" i="4" s="1"/>
  <c r="J64" i="4"/>
  <c r="K64" i="4" s="1"/>
  <c r="R19" i="17"/>
  <c r="S19" i="17" s="1"/>
  <c r="O19" i="17"/>
  <c r="Q19" i="17" s="1"/>
  <c r="J63" i="4"/>
  <c r="K63" i="4" s="1"/>
  <c r="J62" i="4"/>
  <c r="K62" i="4" s="1"/>
  <c r="K26" i="5"/>
  <c r="J26" i="5"/>
  <c r="K25" i="13"/>
  <c r="J25" i="13"/>
  <c r="K93" i="2"/>
  <c r="L93" i="2" s="1"/>
  <c r="J93" i="2"/>
  <c r="J24" i="13"/>
  <c r="K24" i="13" s="1"/>
  <c r="I22" i="6"/>
  <c r="J22" i="6" s="1"/>
  <c r="K92" i="2"/>
  <c r="L92" i="2" s="1"/>
  <c r="J92" i="2"/>
  <c r="J2" i="18"/>
  <c r="I2" i="18"/>
  <c r="K91" i="2"/>
  <c r="L91" i="2" s="1"/>
  <c r="J91" i="2"/>
  <c r="P41" i="1"/>
  <c r="Q41" i="1" s="1"/>
  <c r="M41" i="1"/>
  <c r="O41" i="1" s="1"/>
  <c r="L16" i="3"/>
  <c r="M16" i="3" s="1"/>
  <c r="L15" i="3"/>
  <c r="M15" i="3" s="1"/>
  <c r="K90" i="2"/>
  <c r="L90" i="2" s="1"/>
  <c r="J90" i="2"/>
  <c r="P40" i="1"/>
  <c r="Q40" i="1" s="1"/>
  <c r="M40" i="1"/>
  <c r="O40" i="1" s="1"/>
  <c r="P39" i="1"/>
  <c r="Q39" i="1" s="1"/>
  <c r="M39" i="1"/>
  <c r="O39" i="1" s="1"/>
  <c r="P38" i="1"/>
  <c r="Q38" i="1" s="1"/>
  <c r="M38" i="1"/>
  <c r="O38" i="1"/>
  <c r="K89" i="2"/>
  <c r="L89" i="2" s="1"/>
  <c r="J89" i="2"/>
  <c r="M14" i="3"/>
  <c r="L14" i="3"/>
  <c r="M13" i="3"/>
  <c r="L13" i="3"/>
  <c r="K88" i="2"/>
  <c r="L88" i="2" s="1"/>
  <c r="J88" i="2"/>
  <c r="K87" i="2"/>
  <c r="L87" i="2" s="1"/>
  <c r="J87" i="2"/>
  <c r="K86" i="2"/>
  <c r="L86" i="2" s="1"/>
  <c r="K85" i="2"/>
  <c r="L85" i="2" s="1"/>
  <c r="J86" i="2"/>
  <c r="K83" i="2"/>
  <c r="K84" i="2"/>
  <c r="J85" i="2"/>
  <c r="J11" i="12"/>
  <c r="K11" i="12" s="1"/>
  <c r="J23" i="13"/>
  <c r="K23" i="13" s="1"/>
  <c r="L29" i="8"/>
  <c r="M29" i="8" s="1"/>
  <c r="J22" i="13"/>
  <c r="K22" i="13" s="1"/>
  <c r="L84" i="2"/>
  <c r="J84" i="2"/>
  <c r="J21" i="13"/>
  <c r="K21" i="13" s="1"/>
  <c r="M12" i="3"/>
  <c r="L12" i="3"/>
  <c r="K14" i="15"/>
  <c r="J14" i="15"/>
  <c r="J61" i="4"/>
  <c r="K61" i="4" s="1"/>
  <c r="J55" i="4"/>
  <c r="K55" i="4" s="1"/>
  <c r="J56" i="4"/>
  <c r="K56" i="4" s="1"/>
  <c r="K10" i="12"/>
  <c r="J10" i="12"/>
  <c r="K9" i="12"/>
  <c r="J9" i="12"/>
  <c r="L28" i="8"/>
  <c r="M28" i="8" s="1"/>
  <c r="J20" i="13"/>
  <c r="K20" i="13" s="1"/>
  <c r="J83" i="2"/>
  <c r="L83" i="2"/>
  <c r="K82" i="2"/>
  <c r="L82" i="2" s="1"/>
  <c r="J82" i="2"/>
  <c r="K81" i="2"/>
  <c r="L81" i="2" s="1"/>
  <c r="J81" i="2"/>
  <c r="K80" i="2"/>
  <c r="L80" i="2" s="1"/>
  <c r="J80" i="2"/>
  <c r="M27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M23" i="8" s="1"/>
  <c r="L24" i="8"/>
  <c r="M24" i="8" s="1"/>
  <c r="L25" i="8"/>
  <c r="M25" i="8" s="1"/>
  <c r="L26" i="8"/>
  <c r="L27" i="8"/>
  <c r="J19" i="13"/>
  <c r="K19" i="13" s="1"/>
  <c r="P37" i="1"/>
  <c r="Q37" i="1" s="1"/>
  <c r="M37" i="1"/>
  <c r="O37" i="1" s="1"/>
  <c r="K79" i="2"/>
  <c r="L79" i="2" s="1"/>
  <c r="J79" i="2"/>
  <c r="K78" i="2"/>
  <c r="L78" i="2" s="1"/>
  <c r="J78" i="2"/>
  <c r="L77" i="2"/>
  <c r="K77" i="2"/>
  <c r="J77" i="2"/>
  <c r="M36" i="1"/>
  <c r="O36" i="1" s="1"/>
  <c r="P36" i="1"/>
  <c r="Q36" i="1" s="1"/>
  <c r="P35" i="1"/>
  <c r="Q35" i="1" s="1"/>
  <c r="M35" i="1"/>
  <c r="O35" i="1" s="1"/>
  <c r="K76" i="2"/>
  <c r="L76" i="2" s="1"/>
  <c r="J76" i="2"/>
  <c r="K75" i="2"/>
  <c r="L75" i="2" s="1"/>
  <c r="J75" i="2"/>
  <c r="Q3" i="17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2" i="17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3" i="2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29" i="1"/>
  <c r="O29" i="1" s="1"/>
  <c r="M30" i="1"/>
  <c r="O30" i="1" s="1"/>
  <c r="M31" i="1"/>
  <c r="O31" i="1" s="1"/>
  <c r="M32" i="1"/>
  <c r="O32" i="1" s="1"/>
  <c r="M33" i="1"/>
  <c r="O33" i="1" s="1"/>
  <c r="M34" i="1"/>
  <c r="O34" i="1" s="1"/>
  <c r="K74" i="2"/>
  <c r="L74" i="2" s="1"/>
  <c r="K73" i="2"/>
  <c r="L73" i="2" s="1"/>
  <c r="K72" i="2"/>
  <c r="L72" i="2" s="1"/>
  <c r="J18" i="13"/>
  <c r="K18" i="13" s="1"/>
  <c r="J17" i="13"/>
  <c r="K17" i="13" s="1"/>
  <c r="J16" i="13"/>
  <c r="K16" i="13" s="1"/>
  <c r="K71" i="2"/>
  <c r="L71" i="2" s="1"/>
  <c r="J8" i="12"/>
  <c r="K8" i="12" s="1"/>
  <c r="J3" i="12"/>
  <c r="J4" i="12"/>
  <c r="J5" i="12"/>
  <c r="J6" i="12"/>
  <c r="J7" i="12"/>
  <c r="J2" i="12"/>
  <c r="J25" i="5"/>
  <c r="K25" i="5" s="1"/>
  <c r="K11" i="15"/>
  <c r="K12" i="15"/>
  <c r="K13" i="15"/>
  <c r="J11" i="15"/>
  <c r="J12" i="15"/>
  <c r="J13" i="15"/>
  <c r="J3" i="5"/>
  <c r="J4" i="5"/>
  <c r="J5" i="5"/>
  <c r="J6" i="5"/>
  <c r="J7" i="5"/>
  <c r="J8" i="5"/>
  <c r="J9" i="5"/>
  <c r="J10" i="5"/>
  <c r="J11" i="5"/>
  <c r="J12" i="5"/>
  <c r="J13" i="5"/>
  <c r="J14" i="5"/>
  <c r="J17" i="5"/>
  <c r="J18" i="5"/>
  <c r="J19" i="5"/>
  <c r="J20" i="5"/>
  <c r="J21" i="5"/>
  <c r="J22" i="5"/>
  <c r="J23" i="5"/>
  <c r="K23" i="5" s="1"/>
  <c r="J24" i="5"/>
  <c r="K24" i="5" s="1"/>
  <c r="J2" i="5"/>
  <c r="J15" i="13"/>
  <c r="K15" i="13" s="1"/>
  <c r="J3" i="13"/>
  <c r="J4" i="13"/>
  <c r="J5" i="13"/>
  <c r="J6" i="13"/>
  <c r="J7" i="13"/>
  <c r="J8" i="13"/>
  <c r="J9" i="13"/>
  <c r="J10" i="13"/>
  <c r="J11" i="13"/>
  <c r="J12" i="13"/>
  <c r="J13" i="13"/>
  <c r="K13" i="13" s="1"/>
  <c r="J14" i="13"/>
  <c r="K14" i="13" s="1"/>
  <c r="J2" i="13"/>
  <c r="K70" i="2"/>
  <c r="L70" i="2" s="1"/>
  <c r="K10" i="15"/>
  <c r="J10" i="15"/>
  <c r="J13" i="4"/>
  <c r="K13" i="4" s="1"/>
  <c r="J4" i="4"/>
  <c r="K4" i="4" s="1"/>
  <c r="J28" i="4"/>
  <c r="K28" i="4" s="1"/>
  <c r="J26" i="4"/>
  <c r="K26" i="4" s="1"/>
  <c r="J52" i="4"/>
  <c r="K52" i="4" s="1"/>
  <c r="J50" i="4"/>
  <c r="J11" i="4"/>
  <c r="J23" i="4"/>
  <c r="J57" i="4"/>
  <c r="J32" i="4"/>
  <c r="J33" i="4"/>
  <c r="J6" i="4"/>
  <c r="J18" i="4"/>
  <c r="J17" i="4"/>
  <c r="J20" i="4"/>
  <c r="J22" i="4"/>
  <c r="J58" i="4"/>
  <c r="J40" i="4"/>
  <c r="J43" i="4"/>
  <c r="J46" i="4"/>
  <c r="J35" i="4"/>
  <c r="J25" i="4"/>
  <c r="J48" i="4"/>
  <c r="J54" i="4"/>
  <c r="J60" i="4"/>
  <c r="J10" i="4"/>
  <c r="J3" i="4"/>
  <c r="J19" i="4"/>
  <c r="J45" i="4"/>
  <c r="J21" i="4"/>
  <c r="J59" i="4"/>
  <c r="J8" i="4"/>
  <c r="J7" i="4"/>
  <c r="J15" i="4"/>
  <c r="J16" i="4"/>
  <c r="J41" i="4"/>
  <c r="J42" i="4"/>
  <c r="J53" i="4"/>
  <c r="J37" i="4"/>
  <c r="J36" i="4"/>
  <c r="J51" i="4"/>
  <c r="J49" i="4"/>
  <c r="J47" i="4"/>
  <c r="J9" i="4"/>
  <c r="J14" i="4"/>
  <c r="K14" i="4" s="1"/>
  <c r="J27" i="4"/>
  <c r="K27" i="4" s="1"/>
  <c r="J24" i="4"/>
  <c r="K24" i="4" s="1"/>
  <c r="J38" i="4"/>
  <c r="K38" i="4" s="1"/>
  <c r="J12" i="4"/>
  <c r="K12" i="4" s="1"/>
  <c r="J34" i="4"/>
  <c r="K34" i="4" s="1"/>
  <c r="J31" i="4"/>
  <c r="K31" i="4" s="1"/>
  <c r="J2" i="4"/>
  <c r="K2" i="4" s="1"/>
  <c r="J29" i="4"/>
  <c r="K29" i="4" s="1"/>
  <c r="J39" i="4"/>
  <c r="K39" i="4" s="1"/>
  <c r="J30" i="4"/>
  <c r="K30" i="4" s="1"/>
  <c r="J44" i="4"/>
  <c r="K44" i="4" s="1"/>
  <c r="J5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P3" i="1"/>
  <c r="K62" i="2"/>
  <c r="L62" i="2" s="1"/>
  <c r="P34" i="1"/>
  <c r="Q34" i="1" s="1"/>
  <c r="K61" i="2"/>
  <c r="L61" i="2" s="1"/>
  <c r="K60" i="2"/>
  <c r="L60" i="2" s="1"/>
  <c r="K59" i="2"/>
  <c r="L59" i="2" s="1"/>
  <c r="K12" i="13" l="1"/>
  <c r="K9" i="4"/>
  <c r="K58" i="2"/>
  <c r="L58" i="2" s="1"/>
  <c r="K57" i="2"/>
  <c r="L57" i="2" s="1"/>
  <c r="K47" i="4"/>
  <c r="K49" i="4"/>
  <c r="K51" i="4"/>
  <c r="K56" i="2"/>
  <c r="L56" i="2" s="1"/>
  <c r="K55" i="2"/>
  <c r="L55" i="2" s="1"/>
  <c r="M22" i="8"/>
  <c r="K54" i="2"/>
  <c r="L54" i="2" s="1"/>
  <c r="K36" i="4"/>
  <c r="K37" i="4"/>
  <c r="M21" i="8"/>
  <c r="K53" i="2"/>
  <c r="L53" i="2" s="1"/>
  <c r="K52" i="2"/>
  <c r="L52" i="2" s="1"/>
  <c r="K51" i="2"/>
  <c r="L51" i="2" s="1"/>
  <c r="K50" i="2"/>
  <c r="L50" i="2" s="1"/>
  <c r="M20" i="8"/>
  <c r="K49" i="2"/>
  <c r="L49" i="2" s="1"/>
  <c r="P33" i="1"/>
  <c r="Q33" i="1" s="1"/>
  <c r="K22" i="5"/>
  <c r="K21" i="5"/>
  <c r="K11" i="13"/>
  <c r="K10" i="13"/>
  <c r="K53" i="4"/>
  <c r="K42" i="4"/>
  <c r="K41" i="4"/>
  <c r="K16" i="4"/>
  <c r="K15" i="4"/>
  <c r="L6" i="3"/>
  <c r="M6" i="3" s="1"/>
  <c r="K7" i="4"/>
  <c r="K8" i="4"/>
  <c r="K59" i="4"/>
  <c r="P32" i="1"/>
  <c r="Q32" i="1" s="1"/>
  <c r="K21" i="4"/>
  <c r="K45" i="4"/>
  <c r="K19" i="4"/>
  <c r="K3" i="4"/>
  <c r="K10" i="4"/>
  <c r="J17" i="6"/>
  <c r="I17" i="6"/>
  <c r="K20" i="5"/>
  <c r="J16" i="6"/>
  <c r="I16" i="6"/>
  <c r="K18" i="5"/>
  <c r="K19" i="5"/>
  <c r="K7" i="12"/>
  <c r="K48" i="2"/>
  <c r="L48" i="2" s="1"/>
  <c r="K47" i="2"/>
  <c r="L47" i="2" s="1"/>
  <c r="K46" i="2"/>
  <c r="L46" i="2" s="1"/>
  <c r="K9" i="13"/>
  <c r="K45" i="2"/>
  <c r="L45" i="2" s="1"/>
  <c r="K15" i="5"/>
  <c r="K16" i="5"/>
  <c r="K17" i="5"/>
  <c r="M19" i="8"/>
  <c r="M18" i="8"/>
  <c r="M17" i="8"/>
  <c r="K44" i="2"/>
  <c r="L44" i="2" s="1"/>
  <c r="K43" i="2"/>
  <c r="L43" i="2" s="1"/>
  <c r="K42" i="2"/>
  <c r="L42" i="2" s="1"/>
  <c r="K6" i="12"/>
  <c r="K8" i="13"/>
  <c r="I15" i="6"/>
  <c r="J15" i="6" s="1"/>
  <c r="J14" i="6"/>
  <c r="I14" i="6"/>
  <c r="J13" i="6"/>
  <c r="I13" i="6"/>
  <c r="K41" i="2"/>
  <c r="L41" i="2" s="1"/>
  <c r="J12" i="6"/>
  <c r="I12" i="6"/>
  <c r="K7" i="13"/>
  <c r="K5" i="12"/>
  <c r="K14" i="5"/>
  <c r="I11" i="6"/>
  <c r="J11" i="6" s="1"/>
  <c r="K40" i="2"/>
  <c r="L40" i="2" s="1"/>
  <c r="K4" i="13"/>
  <c r="K5" i="13"/>
  <c r="K6" i="13"/>
  <c r="K3" i="13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M16" i="8"/>
  <c r="K2" i="13"/>
  <c r="K2" i="12"/>
  <c r="K12" i="5"/>
  <c r="M15" i="8"/>
  <c r="K11" i="5"/>
  <c r="K10" i="5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M14" i="8"/>
  <c r="M13" i="8"/>
  <c r="K4" i="12"/>
  <c r="K3" i="12"/>
  <c r="K9" i="5"/>
  <c r="I10" i="6"/>
  <c r="J10" i="6" s="1"/>
  <c r="K60" i="4"/>
  <c r="P26" i="1"/>
  <c r="Q26" i="1" s="1"/>
  <c r="M12" i="8"/>
  <c r="M11" i="8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M10" i="8"/>
  <c r="M9" i="8"/>
  <c r="K54" i="4"/>
  <c r="K48" i="4"/>
  <c r="K25" i="4"/>
  <c r="K35" i="4"/>
  <c r="K46" i="4"/>
  <c r="K43" i="4"/>
  <c r="K40" i="4"/>
  <c r="P15" i="1"/>
  <c r="Q15" i="1" s="1"/>
  <c r="L4" i="11"/>
  <c r="K4" i="11"/>
  <c r="K10" i="2"/>
  <c r="L10" i="2" s="1"/>
  <c r="I9" i="6"/>
  <c r="J9" i="6" s="1"/>
  <c r="K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58" i="4"/>
  <c r="P18" i="1"/>
  <c r="Q18" i="1" s="1"/>
  <c r="K31" i="2"/>
  <c r="L31" i="2" s="1"/>
  <c r="K12" i="2"/>
  <c r="L12" i="2" s="1"/>
  <c r="K21" i="2"/>
  <c r="L21" i="2" s="1"/>
  <c r="K27" i="2"/>
  <c r="L27" i="2" s="1"/>
  <c r="K22" i="4"/>
  <c r="K20" i="4"/>
  <c r="K17" i="4"/>
  <c r="K7" i="5"/>
  <c r="L3" i="11"/>
  <c r="K3" i="11"/>
  <c r="K2" i="11"/>
  <c r="L2" i="11" s="1"/>
  <c r="K13" i="2"/>
  <c r="L13" i="2" s="1"/>
  <c r="L3" i="2"/>
  <c r="K3" i="2"/>
  <c r="M8" i="8"/>
  <c r="K18" i="4"/>
  <c r="K6" i="4"/>
  <c r="K33" i="4"/>
  <c r="K6" i="5"/>
  <c r="K32" i="4"/>
  <c r="K57" i="4"/>
  <c r="K23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K5" i="5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M7" i="8"/>
  <c r="M6" i="8"/>
  <c r="M5" i="8"/>
  <c r="M4" i="8"/>
  <c r="M3" i="8"/>
  <c r="M2" i="8"/>
  <c r="P10" i="1"/>
  <c r="Q10" i="1" s="1"/>
  <c r="P13" i="1"/>
  <c r="Q13" i="1" s="1"/>
  <c r="P5" i="1"/>
  <c r="Q5" i="1" s="1"/>
  <c r="K4" i="5"/>
  <c r="K3" i="5"/>
  <c r="K2" i="5"/>
  <c r="K50" i="4"/>
  <c r="K11" i="4"/>
  <c r="K5" i="4"/>
</calcChain>
</file>

<file path=xl/sharedStrings.xml><?xml version="1.0" encoding="utf-8"?>
<sst xmlns="http://schemas.openxmlformats.org/spreadsheetml/2006/main" count="3735" uniqueCount="1341">
  <si>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</si>
  <si>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</si>
  <si>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</si>
  <si>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</si>
  <si>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</si>
  <si>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</si>
  <si>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</si>
  <si>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</si>
  <si>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</si>
  <si>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</si>
  <si>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</si>
  <si>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</si>
  <si>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</si>
  <si>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</si>
  <si>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</si>
  <si>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</si>
  <si>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</si>
  <si>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</si>
  <si>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</si>
  <si>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</si>
  <si>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</si>
  <si>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</si>
  <si>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</si>
  <si>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</si>
  <si>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</si>
  <si>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</si>
  <si>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</si>
  <si>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</si>
  <si>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</si>
  <si>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</si>
  <si>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</si>
  <si>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</si>
  <si>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</si>
  <si>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</si>
  <si>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</si>
  <si>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</si>
  <si>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</si>
  <si>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</si>
  <si>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</si>
  <si>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</si>
  <si>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</si>
  <si>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</si>
  <si>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</si>
  <si>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</si>
  <si>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</si>
  <si>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</si>
  <si>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</si>
  <si>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</si>
  <si>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</si>
  <si>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</si>
  <si>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</si>
  <si>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</si>
  <si>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</si>
  <si>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</si>
  <si>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</si>
  <si>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</si>
  <si>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</si>
  <si>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</si>
  <si>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</si>
  <si>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</si>
  <si>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</si>
  <si>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</si>
  <si>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</si>
  <si>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</si>
  <si>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</si>
  <si>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</si>
  <si>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</si>
  <si>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</si>
  <si>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</si>
  <si>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</si>
  <si>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</si>
  <si>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</si>
  <si>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</si>
  <si>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</si>
  <si>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</si>
  <si>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</si>
  <si>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</si>
  <si>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</si>
  <si>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</si>
  <si>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</si>
  <si>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</si>
  <si>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</si>
  <si>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</si>
  <si>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</si>
  <si>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</si>
  <si>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</si>
  <si>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</si>
  <si>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</si>
  <si>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</si>
  <si>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</si>
  <si>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</si>
  <si>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</si>
  <si>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</si>
  <si>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</si>
  <si>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</si>
  <si>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</si>
  <si>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</si>
  <si>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</si>
  <si>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</si>
  <si>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</si>
  <si>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</si>
  <si>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</si>
  <si>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</si>
  <si>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</si>
  <si>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</si>
  <si>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</si>
  <si>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</si>
  <si>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</si>
  <si>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</si>
  <si>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</si>
  <si>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</si>
  <si>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</si>
  <si>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</si>
  <si>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</si>
  <si>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</si>
  <si>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</si>
  <si>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</si>
  <si>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</si>
  <si>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</si>
  <si>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</si>
  <si>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</si>
  <si>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</si>
  <si>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</si>
  <si>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</si>
  <si>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</si>
  <si>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</si>
  <si>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</si>
  <si>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</si>
  <si>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</si>
  <si>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</si>
  <si>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</si>
  <si>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</si>
  <si>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</si>
  <si>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</si>
  <si>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</si>
  <si>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</si>
  <si>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</si>
  <si>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</si>
  <si>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</si>
  <si>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</si>
  <si>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</si>
  <si>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</si>
  <si>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</si>
  <si>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</si>
  <si>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</si>
  <si>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</si>
  <si>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</si>
  <si>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</si>
  <si>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</si>
  <si>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</si>
  <si>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</si>
  <si>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</si>
  <si>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</si>
  <si>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</si>
  <si>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</si>
  <si>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</si>
  <si>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</si>
  <si>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</si>
  <si>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</si>
  <si>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</si>
  <si>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</si>
  <si>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</si>
  <si>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</si>
  <si>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</si>
  <si>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</si>
  <si>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</si>
  <si>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</si>
  <si>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</si>
  <si>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</si>
  <si>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</si>
  <si>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</si>
  <si>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</si>
  <si>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</si>
  <si>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</si>
  <si>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</si>
  <si>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</si>
  <si>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</si>
  <si>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</si>
  <si>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</si>
  <si>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</si>
  <si>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</si>
  <si>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</si>
  <si>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</si>
  <si>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</si>
  <si>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</si>
  <si>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</si>
  <si>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</si>
  <si>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</si>
  <si>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</si>
  <si>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</si>
  <si>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</si>
  <si>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</si>
  <si>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</si>
  <si>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</si>
  <si>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</si>
  <si>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</si>
  <si>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</si>
  <si>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</si>
  <si>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</si>
  <si>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</si>
  <si>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</si>
  <si>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</si>
  <si>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</si>
  <si>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</si>
  <si>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</si>
  <si>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</si>
  <si>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</si>
  <si>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</si>
  <si>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</si>
  <si>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</si>
  <si>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</si>
  <si>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</si>
  <si>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</si>
  <si>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</si>
  <si>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</si>
  <si>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</si>
  <si>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</si>
  <si>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</si>
  <si>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</si>
  <si>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</si>
  <si>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</si>
  <si>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</si>
  <si>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</si>
  <si>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</si>
  <si>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</si>
  <si>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</si>
  <si>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</si>
  <si>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</si>
  <si>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</si>
  <si>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</si>
  <si>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</si>
  <si>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</si>
  <si>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</si>
  <si>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</si>
  <si>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</si>
  <si>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</si>
  <si>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</si>
  <si>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</si>
  <si>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</si>
  <si>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</si>
  <si>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</si>
  <si>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</si>
  <si>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</si>
  <si>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</si>
  <si>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</si>
  <si>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</si>
  <si>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</si>
  <si>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</si>
  <si>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</si>
  <si>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</si>
  <si>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</si>
  <si>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</si>
  <si>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</si>
  <si>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</si>
  <si>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</si>
  <si>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</si>
  <si>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</si>
  <si>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</si>
  <si>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</si>
  <si>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</si>
  <si>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</si>
  <si>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</si>
  <si>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</si>
  <si>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</si>
  <si>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</si>
  <si>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</si>
  <si>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</si>
  <si>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</si>
  <si>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</si>
  <si>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</si>
  <si>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</si>
  <si>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</si>
  <si>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</si>
  <si>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</si>
  <si>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</si>
  <si>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</si>
  <si>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</si>
  <si>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</si>
  <si>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</si>
  <si>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</si>
  <si>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</si>
  <si>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</si>
  <si>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</si>
  <si>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</si>
  <si>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</si>
  <si>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</si>
  <si>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</si>
  <si>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</si>
  <si>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</si>
  <si>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</si>
  <si>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</si>
  <si>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</si>
  <si>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</si>
  <si>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</si>
  <si>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</si>
  <si>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</si>
  <si>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</si>
  <si>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</si>
  <si>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</si>
  <si>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</si>
  <si>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</si>
  <si>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</si>
  <si>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</si>
  <si>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</si>
  <si>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</si>
  <si>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</si>
  <si>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</si>
  <si>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</si>
  <si>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</si>
  <si>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</si>
  <si>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</si>
  <si>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</si>
  <si>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</si>
  <si>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</si>
  <si>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</si>
  <si>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</si>
  <si>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</si>
  <si>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</si>
  <si>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</si>
  <si>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</si>
  <si>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</si>
  <si>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</si>
  <si>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</si>
  <si>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</si>
  <si>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</si>
  <si>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</si>
  <si>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</si>
  <si>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</si>
  <si>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</si>
  <si>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</si>
  <si>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</si>
  <si>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</si>
  <si>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</si>
  <si>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</si>
  <si>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</si>
  <si>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</si>
  <si>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</si>
  <si>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</si>
  <si>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</si>
  <si>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</si>
  <si>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</si>
  <si>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</si>
  <si>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</si>
  <si>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</si>
  <si>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</si>
  <si>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</si>
  <si>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</si>
  <si>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</si>
  <si>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</si>
  <si>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</si>
  <si>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</si>
  <si>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</si>
  <si>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</si>
  <si>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</si>
  <si>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</si>
  <si>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</si>
  <si>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</si>
  <si>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</si>
  <si>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</si>
  <si>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</si>
  <si>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</si>
  <si>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</si>
  <si>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</si>
  <si>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</si>
  <si>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</si>
  <si>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</si>
  <si>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</si>
  <si>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</si>
  <si>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</si>
  <si>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</si>
  <si>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</si>
  <si>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</si>
  <si>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</si>
  <si>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</si>
  <si>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</si>
  <si>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</si>
  <si>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</si>
  <si>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</si>
  <si>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</si>
  <si>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</si>
  <si>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</si>
  <si>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</si>
  <si>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</si>
  <si>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</si>
  <si>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</si>
  <si>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</si>
  <si>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</si>
  <si>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</si>
  <si>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</si>
  <si>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</si>
  <si>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</si>
  <si>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</si>
  <si>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</si>
  <si>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</si>
  <si>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</si>
  <si>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</si>
  <si>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</si>
  <si>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</si>
  <si>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</si>
  <si>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</si>
  <si>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</si>
  <si>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</si>
  <si>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</si>
  <si>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</si>
  <si>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</si>
  <si>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</si>
  <si>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</si>
  <si>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</si>
  <si>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</si>
  <si>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</si>
  <si>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</si>
  <si>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</si>
  <si>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</si>
  <si>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</si>
  <si>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</si>
  <si>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</si>
  <si>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</si>
  <si>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</si>
  <si>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</si>
  <si>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</si>
  <si>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</si>
  <si>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</si>
  <si>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</si>
  <si>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</si>
  <si>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</si>
  <si>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</si>
  <si>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</si>
  <si>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</si>
  <si>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</si>
  <si>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</si>
  <si>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</si>
  <si>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</si>
  <si>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</si>
  <si>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</si>
  <si>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</si>
  <si>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</si>
  <si>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</si>
  <si>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</si>
  <si>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</si>
  <si>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</si>
  <si>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</si>
  <si>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</si>
  <si>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</si>
  <si>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</si>
  <si>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</si>
  <si>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</si>
  <si>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</si>
  <si>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</si>
  <si>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</si>
  <si>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</si>
  <si>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</si>
  <si>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</si>
  <si>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</si>
  <si>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</si>
  <si>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</si>
  <si>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</si>
  <si>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</si>
  <si>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</si>
  <si>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</si>
  <si>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</si>
  <si>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</si>
  <si>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</si>
  <si>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</si>
  <si>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</si>
  <si>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</si>
  <si>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</si>
  <si>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</si>
  <si>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</si>
  <si>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</si>
  <si>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</si>
  <si>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</si>
  <si>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</si>
  <si>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</si>
  <si>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</si>
  <si>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</si>
  <si>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</si>
  <si>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</si>
  <si>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</si>
  <si>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</si>
  <si>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</si>
  <si>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</si>
  <si>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</si>
  <si>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</si>
  <si>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</si>
  <si>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</si>
  <si>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</si>
  <si>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</si>
  <si>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</si>
  <si>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</si>
  <si>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</si>
  <si>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</si>
  <si>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</si>
  <si>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</si>
  <si>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</si>
  <si>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</si>
  <si>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</si>
  <si>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</si>
  <si>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</si>
  <si>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</si>
  <si>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</si>
  <si>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</si>
  <si>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</si>
  <si>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</si>
  <si>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</si>
  <si>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</si>
  <si>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</si>
  <si>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</si>
  <si>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</si>
  <si>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</si>
  <si>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</si>
  <si>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</si>
  <si>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</si>
  <si>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</si>
  <si>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</si>
  <si>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</si>
  <si>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</si>
  <si>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</si>
  <si>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</si>
  <si>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</si>
  <si>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</si>
  <si>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</si>
  <si>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</si>
  <si>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</si>
  <si>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</si>
  <si>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</si>
  <si>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</si>
  <si>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</si>
  <si>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</si>
  <si>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</si>
  <si>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</si>
  <si>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</si>
  <si>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</si>
  <si>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</si>
  <si>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</si>
  <si>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</si>
  <si>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</si>
  <si>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</si>
  <si>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</si>
  <si>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</si>
  <si>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</si>
  <si>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</si>
  <si>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</si>
  <si>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</si>
  <si>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</si>
  <si>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</si>
  <si>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</si>
  <si>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</si>
  <si>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</si>
  <si>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</si>
  <si>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</si>
  <si>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</si>
  <si>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</si>
  <si>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</si>
  <si>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</si>
  <si>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</si>
  <si>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</si>
  <si>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</si>
  <si>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</si>
  <si>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</si>
  <si>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</si>
  <si>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</si>
  <si>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</si>
  <si>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</si>
  <si>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</si>
  <si>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</si>
  <si>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</si>
  <si>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</si>
  <si>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</si>
  <si>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</si>
  <si>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</si>
  <si>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</si>
  <si>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</si>
  <si>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</si>
  <si>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</si>
  <si>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</si>
  <si>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</si>
  <si>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</si>
  <si>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</si>
  <si>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</si>
  <si>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</si>
  <si>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</si>
  <si>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</si>
  <si>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</si>
  <si>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</si>
  <si>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</si>
  <si>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</si>
  <si>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</si>
  <si>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</si>
  <si>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</si>
  <si>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</si>
  <si>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</si>
  <si>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</si>
  <si>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</si>
  <si>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</si>
  <si>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</si>
  <si>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</si>
  <si>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</si>
  <si>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</si>
  <si>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</si>
  <si>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</si>
  <si>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</si>
  <si>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</si>
  <si>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</si>
  <si>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</si>
  <si>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</si>
  <si>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</si>
  <si>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</si>
  <si>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</si>
  <si>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</si>
  <si>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</si>
  <si>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</si>
  <si>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</si>
  <si>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</si>
  <si>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</si>
  <si>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</si>
  <si>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</si>
  <si>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</si>
  <si>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</si>
  <si>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</si>
  <si>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</si>
  <si>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</si>
  <si>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</si>
  <si>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</si>
  <si>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</si>
  <si>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</si>
  <si>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</si>
  <si>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</si>
  <si>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</si>
  <si>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</si>
  <si>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</si>
  <si>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</si>
  <si>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</si>
  <si>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</si>
  <si>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</si>
  <si>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</si>
  <si>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</si>
  <si>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</si>
  <si>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</si>
  <si>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</si>
  <si>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</si>
  <si>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</si>
  <si>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</si>
  <si>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</si>
  <si>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</si>
  <si>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</si>
  <si>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</si>
  <si>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</si>
  <si>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</si>
  <si>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</si>
  <si>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</si>
  <si>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</si>
  <si>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</si>
  <si>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</si>
  <si>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</si>
  <si>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</si>
  <si>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</si>
  <si>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</si>
  <si>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</si>
  <si>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</si>
  <si>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</si>
  <si>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</si>
  <si>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</si>
  <si>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</si>
  <si>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</si>
  <si>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</si>
  <si>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</si>
  <si>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</si>
  <si>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</si>
  <si>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</si>
  <si>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</si>
  <si>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</si>
  <si>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</si>
  <si>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</si>
  <si>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</si>
  <si>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</si>
  <si>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</si>
  <si>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</si>
  <si>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</si>
  <si>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</si>
  <si>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</si>
  <si>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</si>
  <si>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</si>
  <si>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</si>
  <si>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</si>
  <si>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</si>
  <si>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</si>
  <si>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</si>
  <si>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</si>
  <si>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</si>
  <si>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</si>
  <si>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</si>
  <si>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</si>
  <si>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</si>
  <si>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</si>
  <si>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</si>
  <si>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</si>
  <si>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</si>
  <si>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</si>
  <si>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</si>
  <si>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</si>
  <si>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</si>
  <si>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</si>
  <si>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</si>
  <si>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GRM033R61E104KE14J</t>
  </si>
  <si>
    <t>0.1uF±10% 25V X5R 0201 Multilayer Ceramic Capacitor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</si>
  <si>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</si>
  <si>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</si>
  <si>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</si>
  <si>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</si>
  <si>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</si>
  <si>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</si>
  <si>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</si>
  <si>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</si>
  <si>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</si>
  <si>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</si>
  <si>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</si>
  <si>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</si>
  <si>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</si>
  <si>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</si>
  <si>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</si>
  <si>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</si>
  <si>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</si>
  <si>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</si>
  <si>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</si>
  <si>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</si>
  <si>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</si>
  <si>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</si>
  <si>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</si>
  <si>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</si>
  <si>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</si>
  <si>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</si>
  <si>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</si>
  <si>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</si>
  <si>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</si>
  <si>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</si>
  <si>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</si>
  <si>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</si>
  <si>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</si>
  <si>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</si>
  <si>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</si>
  <si>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</si>
  <si>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</si>
  <si>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</si>
  <si>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</si>
  <si>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</si>
  <si>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</si>
  <si>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</si>
  <si>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</si>
  <si>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</si>
  <si>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</si>
  <si>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</si>
  <si>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</si>
  <si>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</si>
  <si>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</si>
  <si>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</si>
  <si>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</si>
  <si>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</si>
  <si>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</si>
  <si>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</si>
  <si>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</si>
  <si>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</si>
  <si>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</si>
  <si>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</si>
  <si>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</si>
  <si>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</si>
  <si>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</si>
  <si>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</si>
  <si>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</si>
  <si>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</si>
  <si>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</si>
  <si>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</si>
  <si>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</si>
  <si>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</si>
  <si>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</si>
  <si>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</si>
  <si>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</si>
  <si>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</si>
  <si>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</si>
  <si>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</si>
  <si>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</si>
  <si>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</si>
  <si>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</si>
  <si>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</si>
  <si>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</si>
  <si>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</si>
  <si>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</si>
  <si>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</si>
  <si>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</si>
  <si>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</si>
  <si>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</si>
  <si>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</si>
  <si>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</si>
  <si>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</si>
  <si>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</si>
  <si>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</si>
  <si>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</si>
  <si>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</si>
  <si>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</si>
  <si>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</si>
  <si>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</si>
  <si>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</si>
  <si>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</si>
  <si>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</si>
  <si>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</si>
  <si>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</si>
  <si>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</si>
  <si>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</si>
  <si>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</si>
  <si>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</si>
  <si>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</si>
  <si>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</si>
  <si>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</si>
  <si>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</si>
  <si>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</si>
  <si>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</si>
  <si>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</si>
  <si>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</si>
  <si>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</si>
  <si>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</si>
  <si>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</si>
  <si>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</si>
  <si>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</si>
  <si>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</si>
  <si>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</si>
  <si>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</si>
  <si>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</si>
  <si>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</si>
  <si>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</si>
  <si>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</si>
  <si>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</si>
  <si>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</si>
  <si>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</si>
  <si>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</si>
  <si>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</si>
  <si>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</si>
  <si>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</si>
  <si>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</si>
  <si>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</si>
  <si>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</si>
  <si>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</si>
  <si>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</si>
  <si>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</si>
  <si>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</si>
  <si>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</si>
  <si>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</si>
  <si>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</si>
  <si>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</si>
  <si>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</si>
  <si>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</si>
  <si>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</si>
  <si>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</si>
  <si>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</si>
  <si>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</si>
  <si>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</si>
  <si>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</si>
  <si>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</si>
  <si>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</si>
  <si>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</si>
  <si>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</si>
  <si>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</si>
  <si>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</si>
  <si>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</si>
  <si>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</si>
  <si>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</si>
  <si>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</si>
  <si>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</si>
  <si>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</si>
  <si>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</si>
  <si>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</si>
  <si>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</si>
  <si>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</si>
  <si>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</si>
  <si>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</si>
  <si>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</si>
  <si>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</si>
  <si>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Same Sky</t>
  </si>
  <si>
    <t>./symbols/connectors/connectors.schlib</t>
  </si>
  <si>
    <t>./footprints/Connectors/connectors.PcbLib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</si>
  <si>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</si>
  <si>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</si>
  <si>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</si>
  <si>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</si>
  <si>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</si>
  <si>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</si>
  <si>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</si>
  <si>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</si>
  <si>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</si>
  <si>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</si>
  <si>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</si>
  <si>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</si>
  <si>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</si>
  <si>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</si>
  <si>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</si>
  <si>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</si>
  <si>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</si>
  <si>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</si>
  <si>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</si>
  <si>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</si>
  <si>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</si>
  <si>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</si>
  <si>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</si>
  <si>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</si>
  <si>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</si>
  <si>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</si>
  <si>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</si>
  <si>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</si>
  <si>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</si>
  <si>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</si>
  <si>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</si>
  <si>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</si>
  <si>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</si>
  <si>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</si>
  <si>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</si>
  <si>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</si>
  <si>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</si>
  <si>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</si>
  <si>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</si>
  <si>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</si>
  <si>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</si>
  <si>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</si>
  <si>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</si>
  <si>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</si>
  <si>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</si>
  <si>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</si>
  <si>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</si>
  <si>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</si>
  <si>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</si>
  <si>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</si>
  <si>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</si>
  <si>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</si>
  <si>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</si>
  <si>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</si>
  <si>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</si>
  <si>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</si>
  <si>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</si>
  <si>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</si>
  <si>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</si>
  <si>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</si>
  <si>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</si>
  <si>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</si>
  <si>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</si>
  <si>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</si>
  <si>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</si>
  <si>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</si>
  <si>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</si>
  <si>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</si>
  <si>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</si>
  <si>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</si>
  <si>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</si>
  <si>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</si>
  <si>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</si>
  <si>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</si>
  <si>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</si>
  <si>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</si>
  <si>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</si>
  <si>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</si>
  <si>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</si>
  <si>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</si>
  <si>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</si>
  <si>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</si>
  <si>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</si>
  <si>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</si>
  <si>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</si>
  <si>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</si>
  <si>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</si>
  <si>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</si>
  <si>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</si>
  <si>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</si>
  <si>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</si>
  <si>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</si>
  <si>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</si>
  <si>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</si>
  <si>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</si>
  <si>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</si>
  <si>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</si>
  <si>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</si>
  <si>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</si>
  <si>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</si>
  <si>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</si>
  <si>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</si>
  <si>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</si>
  <si>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</si>
  <si>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</si>
  <si>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</si>
  <si>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</si>
  <si>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</si>
  <si>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</si>
  <si>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</si>
  <si>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</si>
  <si>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</si>
  <si>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</si>
  <si>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</si>
  <si>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</si>
  <si>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</si>
  <si>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</si>
  <si>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</si>
  <si>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</si>
  <si>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</si>
  <si>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</si>
  <si>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</si>
  <si>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</si>
  <si>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</si>
  <si>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</si>
  <si>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</si>
  <si>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</si>
  <si>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</si>
  <si>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</si>
  <si>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</si>
  <si>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</si>
  <si>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</si>
  <si>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</si>
  <si>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</si>
  <si>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</si>
  <si>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</si>
  <si>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</si>
  <si>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</si>
  <si>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</si>
  <si>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</si>
  <si>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</si>
  <si>
    <t>OCULINK RECEPTACLE Vertical SMT shell leg DIP length 2.9mm with hold down tape and reel package</t>
  </si>
  <si>
    <t>G14A42221612AHR</t>
  </si>
  <si>
    <t>6-ch, 4.5-V to 5.5-V inverters with TTL-compatible CMOS inputs</t>
  </si>
  <si>
    <t>SN74ACT04PWR</t>
  </si>
  <si>
    <t>TSSOP-14</t>
  </si>
  <si>
    <t>SN74ACT04</t>
  </si>
  <si>
    <t>6-channel buffer with Schmitt-trigger inputs</t>
  </si>
  <si>
    <t>SN74ACT17</t>
  </si>
  <si>
    <t>SN74ACT17PWR</t>
  </si>
  <si>
    <t>1586037-4</t>
  </si>
  <si>
    <t>TE Connectivity / AMP</t>
  </si>
  <si>
    <t>Headers &amp; Wire Housings VERT HDR NO PEGS 4P</t>
  </si>
  <si>
    <t>IHLP2525CZER2R2M01</t>
  </si>
  <si>
    <t>IHLP2525CZER4R7M01</t>
  </si>
  <si>
    <t>IHLP2525CZER1R0M01</t>
  </si>
  <si>
    <t>2.2µH ±20% 8A 20mΩ Shielded SMD Inductor</t>
  </si>
  <si>
    <t>4.7µH ±20% 5.5A 40mΩ Shielded SMD Inductor</t>
  </si>
  <si>
    <t>1.0µH ±20% 11A 10mΩ Shielded SMD Inductor</t>
  </si>
  <si>
    <t>2.2uH</t>
  </si>
  <si>
    <t>4.7uH</t>
  </si>
  <si>
    <t>1.0uH</t>
  </si>
  <si>
    <t>S_Band_Radiator_Niz</t>
  </si>
  <si>
    <t>Керамическая антенна на S_Band</t>
  </si>
  <si>
    <t>LQPF-64</t>
  </si>
  <si>
    <t>QFN12-2x2</t>
  </si>
  <si>
    <t>81_SMP-S50-0-L1/111_N</t>
  </si>
  <si>
    <t>COAXIAL CONNECTOR, SMP, 50 Ohm, Straight PCB plug (male), Surface Mount, Limited Detent</t>
  </si>
  <si>
    <t>HUBER+SUHNER</t>
  </si>
  <si>
    <t>40 GHz</t>
  </si>
  <si>
    <t>Net_Tie</t>
  </si>
  <si>
    <t>ASGTX-C-120.00MHZ-1</t>
  </si>
  <si>
    <t>120.00 MHz VCTCXO LVCMOS Oscillator 3.135V ~ 3.465V 6-SMD, No Lead</t>
  </si>
  <si>
    <t>RC0402FR-072K2L</t>
  </si>
  <si>
    <t>2.2kΩ ±1% 0.063W 0402 Thick Film Chip Resistor</t>
  </si>
  <si>
    <t>2K2</t>
  </si>
  <si>
    <t xml:space="preserve">SN74LVC8T245RHL </t>
  </si>
  <si>
    <t>8-Bit Dual-Supply Bus Transceiver With Configurable Voltage Translation and 3-State Outputs</t>
  </si>
  <si>
    <t>VQFN-24</t>
  </si>
  <si>
    <t>SN74LVC8T245</t>
  </si>
  <si>
    <t>SN74LVC04A</t>
  </si>
  <si>
    <t>SN74LVC04ARGYR</t>
  </si>
  <si>
    <t>The SNx4LVC04A hex inverters contains six independent inverters designed for 2.7-V to 3.6-V VCC operation</t>
  </si>
  <si>
    <t>SN74LVC1G04DSF2</t>
  </si>
  <si>
    <t>Single inverter gate is designed for 1.65V to 5.5V VCC operation.</t>
  </si>
  <si>
    <t>X2SON-6</t>
  </si>
  <si>
    <t>BGA289C80P17X17</t>
  </si>
  <si>
    <t>RC0201FR-070RL</t>
  </si>
  <si>
    <t>LTM4644</t>
  </si>
  <si>
    <t>Quad DC/DC µModule Regulator with Configurable 4A Output Arra</t>
  </si>
  <si>
    <t>BGA-77</t>
  </si>
  <si>
    <t>4 to 14</t>
  </si>
  <si>
    <t>0.5 to 5.5</t>
  </si>
  <si>
    <t>./symbols/IC/Power/LDO.SchLib</t>
  </si>
  <si>
    <t>BGA77C127</t>
  </si>
  <si>
    <t>RC0402FR-0724K3L</t>
  </si>
  <si>
    <t>0Ω ±1% 0.05W 0201 Thick Film Chip Resistor</t>
  </si>
  <si>
    <t>24.3kΩ ±1% 0.063W 0402 Thick Film Chip Resistor</t>
  </si>
  <si>
    <t>24K3</t>
  </si>
  <si>
    <t>7.5kΩ ±1% 0.063W 0402 Thick Film Chip Resistor</t>
  </si>
  <si>
    <t>7K5</t>
  </si>
  <si>
    <t>RC0402FR-077K5L</t>
  </si>
  <si>
    <t>BLM0402</t>
  </si>
  <si>
    <t>L4030</t>
  </si>
  <si>
    <t>L2525</t>
  </si>
  <si>
    <t>LTM4732</t>
  </si>
  <si>
    <t>16VIN, 4A Ultralow Noise Silent Switcher 3 μModule Regulator</t>
  </si>
  <si>
    <t>BGA-28</t>
  </si>
  <si>
    <t>3 to 14</t>
  </si>
  <si>
    <t>0.3 to 6</t>
  </si>
  <si>
    <t>BGA28C127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</si>
  <si>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</si>
  <si>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</si>
  <si>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</si>
  <si>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</si>
  <si>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</si>
  <si>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</si>
  <si>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GRM033R61A105ME15J</t>
  </si>
  <si>
    <t>Multilayer Ceramic Capacitors MLCC - SMD/SMT 1 uF 10 VDC 20% 0201 X5R</t>
  </si>
  <si>
    <t>GRM035R60J475ME15D</t>
  </si>
  <si>
    <t>4.7uF</t>
  </si>
  <si>
    <t>RC0201FR-0710KL</t>
  </si>
  <si>
    <t>RC0201FR-074K99L</t>
  </si>
  <si>
    <t>10kΩ ±1% 0.063W 0201 Thick Film Chip Resistor</t>
  </si>
  <si>
    <t>4.99kΩ ±1% 0.063W 0201 Thick Film Chip Resistor</t>
  </si>
  <si>
    <t>RC0201FR-0718K2L</t>
  </si>
  <si>
    <t>GRM155R61A475MEAAD</t>
  </si>
  <si>
    <t>Multilayer Ceramic Capacitors MLCC - SMD/SMT 4.7 uF 10 VDC 20% 0402 X5R</t>
  </si>
  <si>
    <t>Multilayer Ceramic Capacitors MLCC - SMD/SMT 4.7 uF 6,3 VDC 20% 0201 X5R</t>
  </si>
  <si>
    <t>ADRF5019</t>
  </si>
  <si>
    <t>Silicon, SPDT Switch, Nonreflective, 100 MHz to 13 GHz</t>
  </si>
  <si>
    <t>ADRF5019BCPZN</t>
  </si>
  <si>
    <t>CP-16-38</t>
  </si>
  <si>
    <t>SN65LVDT2DBV</t>
  </si>
  <si>
    <t>single, low-voltage, differential line reciever</t>
  </si>
  <si>
    <t>single, low-voltage, differential line driver</t>
  </si>
  <si>
    <t>TPS7A88</t>
  </si>
  <si>
    <t>TPS7A8801RTJ</t>
  </si>
  <si>
    <t>1-A, low-noise, high-PSRR, dual-channel adjustable ultra-low-dropout voltage regulator</t>
  </si>
  <si>
    <t>WQFN-20</t>
  </si>
  <si>
    <t>1.4 to 6.5</t>
  </si>
  <si>
    <t>0.8 to 5</t>
  </si>
  <si>
    <t>DC/DC</t>
  </si>
  <si>
    <t>LDO</t>
  </si>
  <si>
    <t>RC0201FR-072KL</t>
  </si>
  <si>
    <t>18.2kΩ ±1% 0.063W 0201 Thick Film Chip Resistor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</si>
  <si>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</si>
  <si>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</si>
  <si>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</si>
  <si>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</si>
  <si>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</si>
  <si>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</si>
  <si>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</si>
  <si>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</si>
  <si>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</si>
  <si>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</si>
  <si>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SN65LVDS4RSE</t>
  </si>
  <si>
    <t>a single, low-voltage, differential line receiver in a small-outline UQFN package</t>
  </si>
  <si>
    <t>SN65LVDS4</t>
  </si>
  <si>
    <t>LP38690SD-5.0</t>
  </si>
  <si>
    <t>1-A, 10-V, low-dropout voltage regulator</t>
  </si>
  <si>
    <t>5.5 to 10V</t>
  </si>
  <si>
    <t>LP38690</t>
  </si>
  <si>
    <t>±100 ppb precision MEMS Super-TCXO</t>
  </si>
  <si>
    <t>SIT5357AI-FQ-33N0-100.000000X</t>
  </si>
  <si>
    <t>SITIME</t>
  </si>
  <si>
    <t>5.0mmx3.2mm</t>
  </si>
  <si>
    <t>SIT5357</t>
  </si>
  <si>
    <t>5.0x3.2</t>
  </si>
  <si>
    <t>Si53306</t>
  </si>
  <si>
    <t>Si53306-B-GM</t>
  </si>
  <si>
    <t>Ultra-Low Additive Jitter Fanout Clock Buffers with up to 10 Universal Outputs from Any-Format Input and Wide Frequency Range from 1 MHz to 725 MHz</t>
  </si>
  <si>
    <t>1.8-3.3V</t>
  </si>
  <si>
    <t>HMC1118LP3DE</t>
  </si>
  <si>
    <t>QFN16-3X3</t>
  </si>
  <si>
    <t>LTC5552</t>
  </si>
  <si>
    <t>2GHz to 20GHz Microwave Mixer with Wideband DC–6GHz Diff-IF</t>
  </si>
  <si>
    <t>742792040 </t>
  </si>
  <si>
    <t>600 Ohms @ 100 MHz 1 Signal Line Ferrite Bead 0805 (2012 Metric) 2A 150mOhm</t>
  </si>
  <si>
    <t>600Ω</t>
  </si>
  <si>
    <t>WE-CBF_0805</t>
  </si>
  <si>
    <t>LQP03TN0N7C02J</t>
  </si>
  <si>
    <t>0.7nH</t>
  </si>
  <si>
    <t>0.7nH ±0.2nH 0.8A 80mOhm Unshielded Thick Film Inductor 0201</t>
  </si>
  <si>
    <t>14 @ 500MHz</t>
  </si>
  <si>
    <t>BLM0603</t>
  </si>
  <si>
    <t>AD9717</t>
  </si>
  <si>
    <t>AD9717BCPZ</t>
  </si>
  <si>
    <t>Digital to Analog Converters - DAC Dual 14B, Low Power D-A Converter</t>
  </si>
  <si>
    <t>LFCSP-40</t>
  </si>
  <si>
    <t>33Ω ±1% 0.05W 0201 Thick Film Chip Resistor</t>
  </si>
  <si>
    <t>RC0201FR-0733RL</t>
  </si>
  <si>
    <t>SN74AXC4T774</t>
  </si>
  <si>
    <t>4-Bit Dual-Supply Bus Transceiver with Independent Direction Control, Configurable Voltage Translation, and Tri-State Outputs</t>
  </si>
  <si>
    <t>ADP151AUJZ-1.8</t>
  </si>
  <si>
    <t>ICM-20948</t>
  </si>
  <si>
    <t>World’s Lowest Power 9-Axis MEMS MotionTracking™ Device</t>
  </si>
  <si>
    <t>TDK</t>
  </si>
  <si>
    <t>ADA4930-1</t>
  </si>
  <si>
    <t>./symbols/IC/Analog/OpAmp.SchLib</t>
  </si>
  <si>
    <t>very low noise, low distortion, high speed differential amplifiers</t>
  </si>
  <si>
    <t>CP-16-21</t>
  </si>
  <si>
    <t>301R</t>
  </si>
  <si>
    <t>249R</t>
  </si>
  <si>
    <t>RT0402BRD07301RL</t>
  </si>
  <si>
    <t>301Ω ±0.1% 0.063W 0402 Thick Film Chip Resistor</t>
  </si>
  <si>
    <t>±0.1%</t>
  </si>
  <si>
    <t>249Ω ±0.1% 0.063W 0402 Thick Film Chip Resistor</t>
  </si>
  <si>
    <t>49.9Ω ±0.1% 0.063W 0402 Thick Film Chip Resistor</t>
  </si>
  <si>
    <t>RT0402BRD07249RL</t>
  </si>
  <si>
    <t>RT0402BRD0749R9L</t>
  </si>
  <si>
    <t>RT0402BRD0725RL</t>
  </si>
  <si>
    <t>25Ω ±0.1% 0.063W 0402 Thick Film Chip Resistor</t>
  </si>
  <si>
    <t>25R</t>
  </si>
  <si>
    <t>LQW15AN43NJ00D</t>
  </si>
  <si>
    <t>43 nH Unshielded Wirewound Inductor 250 mA 700mOhm Max 0402 (1005 Metric)</t>
  </si>
  <si>
    <t>43nH</t>
  </si>
  <si>
    <t>33 @ 250MHz</t>
  </si>
  <si>
    <t>LQW15AWR18G80D</t>
  </si>
  <si>
    <t>180 nH Unshielded Wirewound Inductor 260 mA 2.2Ohm Max 0402 (1005 Metric)</t>
  </si>
  <si>
    <t>RC0402FR-07270RL</t>
  </si>
  <si>
    <t>270R</t>
  </si>
  <si>
    <t>270Ω ±1% 0.063W 0402 Thick Film Chip Resistor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</si>
  <si>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</si>
  <si>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</si>
  <si>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</si>
  <si>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</si>
  <si>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</si>
  <si>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</si>
  <si>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</si>
  <si>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</si>
  <si>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</si>
  <si>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47Ω ±1% 0.063W 0402 Thick Film Chip Resistor</t>
  </si>
  <si>
    <t>RC0402FR-0747RL</t>
  </si>
  <si>
    <t>47R</t>
  </si>
  <si>
    <t>LQW15AN62NJ00D</t>
  </si>
  <si>
    <t>62 nH Unshielded Wirewound Inductor 145 mA 1.82Ohm Max 0402 (1005 Metric)</t>
  </si>
  <si>
    <t>62nH</t>
  </si>
  <si>
    <t>20 @ 200MHz</t>
  </si>
  <si>
    <t>200 nH Unshielded Wirewound Inductor 390 mA 470mOhm Max 0402 (1005 Metric)</t>
  </si>
  <si>
    <t>LQW15CNR20J0ZD</t>
  </si>
  <si>
    <t>GRM1555C1H131JA01D</t>
  </si>
  <si>
    <t>130pF±5% 50V C0G Multilayer Ceramic Capacitor</t>
  </si>
  <si>
    <t>130pF</t>
  </si>
  <si>
    <t>SN74AXC4T774RSV</t>
  </si>
  <si>
    <t>RC0402FR-0745K3L</t>
  </si>
  <si>
    <t>45.3kΩ ±1% 0.063W 0402 Thick Film Chip Resistor</t>
  </si>
  <si>
    <t>45K3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</si>
  <si>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</si>
  <si>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</si>
  <si>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</si>
  <si>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</si>
  <si>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</si>
  <si>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RC0402FR-074K7L</t>
  </si>
  <si>
    <t>4.7kΩ ±1% 0.063W 0402 Thick Film Chip Resistor</t>
  </si>
  <si>
    <t>4K7</t>
  </si>
  <si>
    <t>LTST-C191KRKT</t>
  </si>
  <si>
    <t>RED 631nmLED Indication - Discrete 2V 0603 (1608 Metric)</t>
  </si>
  <si>
    <t>R0603</t>
  </si>
  <si>
    <t>./symbols/Diodes/diode.SchLib</t>
  </si>
  <si>
    <t>MX25L12833FM2I-10G</t>
  </si>
  <si>
    <t>FLASH - NOR Memory IC 128Mbit SPI - Quad I/O, QPI 133 MHz 8-SOP</t>
  </si>
  <si>
    <t>Macronix</t>
  </si>
  <si>
    <t>SOP-8</t>
  </si>
  <si>
    <t>IMU</t>
  </si>
  <si>
    <t>Memory</t>
  </si>
  <si>
    <t>Data Converters</t>
  </si>
  <si>
    <t>FTDI</t>
  </si>
  <si>
    <t>Communication Interfaces &amp; Line Drivers</t>
  </si>
  <si>
    <t>Bus Transceivers</t>
  </si>
  <si>
    <t>Voltage-Level Translators</t>
  </si>
  <si>
    <t>Logic Gates, Buffers, Inverters</t>
  </si>
  <si>
    <t>RT0402BRD0790K9L</t>
  </si>
  <si>
    <t>90.9Ω ±0.1% 0.063W 0402 Thick Film Chip Resistor</t>
  </si>
  <si>
    <t>90K9</t>
  </si>
  <si>
    <t>LTC2875HS8</t>
  </si>
  <si>
    <t>High Speed CAN FD Transceiver</t>
  </si>
  <si>
    <t>S04B-PASK-2</t>
  </si>
  <si>
    <t>RF / Coaxial Connectors</t>
  </si>
  <si>
    <t>I/O &amp; Memory Interfaces</t>
  </si>
  <si>
    <t>Power &amp; Terminal Blocks</t>
  </si>
  <si>
    <t>Board-to-Board / Mezzanine / Edge</t>
  </si>
  <si>
    <t>Wire-to-Board &amp; Pin Headers</t>
  </si>
  <si>
    <t>Connector Header Through Hole, Right Angle 4 position 0.079" (2.00mm)</t>
  </si>
  <si>
    <t>JST Sales America Inc.</t>
  </si>
  <si>
    <t>LFCN-3000+</t>
  </si>
  <si>
    <t>LTCC Low Pass Filter, DC - 3000 MHz, 50Ω</t>
  </si>
  <si>
    <t>HFCN-2700AD+</t>
  </si>
  <si>
    <t>LTCC High Pass Filter, 2900 - 8700 MHz</t>
  </si>
  <si>
    <t>GRM1555C1H220JA01D</t>
  </si>
  <si>
    <t>22pF</t>
  </si>
  <si>
    <t>22pF±5% 50V C0G 0402 Multilayer Ceramic Capacitor</t>
  </si>
  <si>
    <t>5.6pF±0.05pF 50V C0G 0402 Multilayer Ceramic Capacitor</t>
  </si>
  <si>
    <t>4.7pF±0.05pF 50V C0G 0402 Multilayer Ceramic Capacitor</t>
  </si>
  <si>
    <t>6pF±0.05pF 50V C0G 0402 Multilayer Ceramic Capacitor</t>
  </si>
  <si>
    <t>39pF±5% 50V C0G 0402 Multilayer Ceramic Capacitor</t>
  </si>
  <si>
    <t>10pF±5% 50V C0G 0402 Multilayer Ceramic Capacitor</t>
  </si>
  <si>
    <t>100pF±2% 50V C0G 0402 Multilayer Ceramic Capacitor</t>
  </si>
  <si>
    <t>0.15pF±0.03pF 50V C0G/NP0 0402 Multilayer Ceramic Capacitor</t>
  </si>
  <si>
    <t>18pF±5% 50V C0G 0402 Multilayer Ceramic Capacitor</t>
  </si>
  <si>
    <t>ADM6-60-01.5-L-4-2-A-TR</t>
  </si>
  <si>
    <t>LTC5549</t>
  </si>
  <si>
    <t>2GHz to 14GHz Microwave Mixer with Wideband DC–6GHz Diff-IF</t>
  </si>
  <si>
    <t>XLF-662M+</t>
  </si>
  <si>
    <t>XHF-63M+</t>
  </si>
  <si>
    <t>XHF-73M+</t>
  </si>
  <si>
    <t>XLF-132H+</t>
  </si>
  <si>
    <t>MNA-4A+</t>
  </si>
  <si>
    <t>TA0332A</t>
  </si>
  <si>
    <t>PVGA-123+</t>
  </si>
  <si>
    <t>BFHKI-8501+</t>
  </si>
  <si>
    <t>PMA3-5123+</t>
  </si>
  <si>
    <t>B070MB6S</t>
  </si>
  <si>
    <t>PSA-14+</t>
  </si>
  <si>
    <t>Reflectionless Low Pass Filter, DC - 6000 MHz, 50Ω</t>
  </si>
  <si>
    <t>LPF_12</t>
  </si>
  <si>
    <t>Reflectionless High Pass Filter, 5900 - 19000 MHz, 50Ω</t>
  </si>
  <si>
    <t>HPF_12</t>
  </si>
  <si>
    <t>Reflectionless High Pass Filter, 7000 - 16400 MHz</t>
  </si>
  <si>
    <t>Reflectionless Low Pass Filter, DC - 1300 MHz, 50Ω</t>
  </si>
  <si>
    <t>LPF_24</t>
  </si>
  <si>
    <t>SMT MMIC, Medium Power, Linear, pHEMT Amplifier, 500 MHz to 2500 MHz, 50Ω, 3x3 mm QFN Style Package</t>
  </si>
  <si>
    <t>SAW Filter 1350MHz SMD 3.0×3.0mm</t>
  </si>
  <si>
    <t>TAI-SAW TECHNOLOGY</t>
  </si>
  <si>
    <t>SMD_6</t>
  </si>
  <si>
    <t>SMT MMIC, Medium Power, Linear, Variable Gain, HBT Amplifier, 400 MHz to 12 GHz, 50Ω, 3x3 mm QFN Style Package</t>
  </si>
  <si>
    <t>LTCC SMT Band Pass Filter, 7.5 - 8.8 GHz, 50Ω</t>
  </si>
  <si>
    <t>SMT Low Noise Amplifier, 5.5 - 12.5 GHz, 50Ω</t>
  </si>
  <si>
    <t>DQ3005</t>
  </si>
  <si>
    <t>7.10GHz Surface Mount Bandpass Filter</t>
  </si>
  <si>
    <t>Knowles</t>
  </si>
  <si>
    <t>12.7*5.08</t>
  </si>
  <si>
    <t>SMT MMIC, Linear, Gain Block, HBT, Low Phase Noise Amplifier, 10 MHz to 10 GHz, 50Ω, SOT-343 Style Package</t>
  </si>
  <si>
    <t>MMM1362</t>
  </si>
  <si>
    <t>FPC06073</t>
  </si>
  <si>
    <t>ADL5519</t>
  </si>
  <si>
    <t>ADPA1120</t>
  </si>
  <si>
    <t>4.5W (36.5dBm), 8GHz to 12GHz, GaN Power Amplifier</t>
  </si>
  <si>
    <t>4 to 8GHz 10dB Directional Coupler</t>
  </si>
  <si>
    <t>4.3 x 2.0</t>
  </si>
  <si>
    <t>1 MHz TO 10 GHz, 62 dB Dual Log Detector / Controller</t>
  </si>
  <si>
    <t>RC0805FR-0733RL</t>
  </si>
  <si>
    <t>33Ω ±1% 0.125W 0805 Thick Film Chip Resistor</t>
  </si>
  <si>
    <t>RC0402FR-073K92L</t>
  </si>
  <si>
    <t>3.92kΩ ±1% 0.063W 0402 Thick Film Chip Resistor</t>
  </si>
  <si>
    <t>3K92</t>
  </si>
  <si>
    <t>RC0402FR-079K53L</t>
  </si>
  <si>
    <t>9.53kΩ ±1% 0.063W 0402 Thick Film Chip Resistor</t>
  </si>
  <si>
    <t>9K53</t>
  </si>
  <si>
    <t>RC0402FR-075K11L</t>
  </si>
  <si>
    <t>5K11</t>
  </si>
  <si>
    <t>5.11kΩ ±1% 0.063W 0402 Thick Film Chip Resistor</t>
  </si>
  <si>
    <t>RC0402FR-078K45L</t>
  </si>
  <si>
    <t>8.45kΩ ±1% 0.063W 0402 Thick Film Chip Resistor</t>
  </si>
  <si>
    <t>8K45</t>
  </si>
  <si>
    <t>YAT-30A+</t>
  </si>
  <si>
    <t>INA293A2</t>
  </si>
  <si>
    <t>INA293 –4 V to 110 V, 1.3-MHz, Ultra-Precise Current Sense Amplifier</t>
  </si>
  <si>
    <t>INA293</t>
  </si>
  <si>
    <t>WSL1206R0500FTB</t>
  </si>
  <si>
    <t>Current Sense Resistors - SMD 1/4watt .05ohms 1%</t>
  </si>
  <si>
    <t>1206</t>
  </si>
  <si>
    <t>0R05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</si>
</sst>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  <font>
      <sz val="12"/>
      <color indexed="8"/>
      <name val="Calibri"/>
      <family val="2"/>
      <scheme val="minor"/>
    </font>
    <font>
      <sz val="12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 indent="1"/>
    </xf>
    <xf numFmtId="0" fontId="0" fillId="0" borderId="0" xfId="0" applyNumberFormat="1"/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0"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A3C5CD-DC8A-44C4-8A9E-8573F7DA07C2}" name="Таблица2" displayName="Таблица2" ref="A1:Q41" totalsRowShown="0" headerRowDxfId="119" dataDxfId="118">
  <autoFilter ref="A1:Q41" xr:uid="{F2A3C5CD-DC8A-44C4-8A9E-8573F7DA07C2}"/>
  <tableColumns count="17">
    <tableColumn id="1" xr3:uid="{523A4A33-1DB7-45AA-9714-8B74E61DD3C2}" name="Part Number" dataDxfId="117"/>
    <tableColumn id="2" xr3:uid="{0D993688-06C8-4BDE-BAA5-2062C0949F7C}" name="Description" dataDxfId="116"/>
    <tableColumn id="3" xr3:uid="{8E29B375-4C09-4495-9A97-4923174D3DCA}" name="Manufacturer" dataDxfId="115"/>
    <tableColumn id="4" xr3:uid="{40DC8ADA-6324-4696-8CD2-F413EE6B923C}" name="Package" dataDxfId="114"/>
    <tableColumn id="5" xr3:uid="{DE073DD0-27D2-421E-B280-933F9D3569B1}" name="Value" dataDxfId="113"/>
    <tableColumn id="6" xr3:uid="{E8985AA7-570E-4755-8B93-1506D8A21152}" name="Voltage_V" dataDxfId="112"/>
    <tableColumn id="7" xr3:uid="{4B31B160-A51E-4229-8632-B6596519879E}" name="Dielectric_Class" dataDxfId="111"/>
    <tableColumn id="8" xr3:uid="{F3B70D97-90D4-4F93-9DBD-FEB053EA0B88}" name="Tolerance" dataDxfId="110"/>
    <tableColumn id="9" xr3:uid="{4A910D03-4E87-422E-80BC-A6F52781CFCA}" name="Type" dataDxfId="109"/>
    <tableColumn id="10" xr3:uid="{BE811EBD-09E3-4B64-9408-652DF180F852}" name="Library Path" dataDxfId="108"/>
    <tableColumn id="11" xr3:uid="{C9C19621-F9DA-44D4-BD23-1D2D13CAFE17}" name="Library Ref" dataDxfId="107"/>
    <tableColumn id="12" xr3:uid="{B6433168-428C-4FE0-868E-2F482F3657EF}" name="Footprint Path 1" dataDxfId="106"/>
    <tableColumn id="13" xr3:uid="{CE81D148-6006-459A-86EE-CEDE85D071BF}" name="Footprint Ref 1" dataDxfId="105">
      <calculatedColumnFormula>_xlfn.CONCAT("C",D2)</calculatedColumnFormula>
    </tableColumn>
    <tableColumn id="14" xr3:uid="{443DB27E-1202-4258-8595-B035090128C5}" name="Footprint Path 2" dataDxfId="104"/>
    <tableColumn id="15" xr3:uid="{F5D3D4E7-9156-42CA-8BCE-BC4E83E513EA}" name="Footprint Ref 2" dataDxfId="103">
      <calculatedColumnFormula>_xlfn.CONCAT(M2,"_RF")</calculatedColumnFormula>
    </tableColumn>
    <tableColumn id="16" xr3:uid="{6BB1B2B6-DA36-45FA-814E-51914638D4AA}" name="UID" dataDxfId="102">
      <calculatedColumnFormula>_xlfn.CONCAT("C-",D2,"-",G2,"-",F2,"-",E2," ", _xlfn.IFS(H2 ="±0,1", "B", H2 = "±0,25", "C", H2 = "±0,5", "D", H2 = "±1%", "F",H2="±2%","G",H2="±5%", "J", H2="±10%", "K", H2="±20%", "M"))</calculatedColumnFormula>
    </tableColumn>
    <tableColumn id="17" xr3:uid="{6DD0C7DB-F9B8-482E-8F9A-B2960D6A792D}" name="PnP_name" dataDxfId="101">
      <calculatedColumnFormula>P2</calculatedColumnFormula>
    </tableColumn>
  </tableColumns>
  <tableStyleInfo name="TableStyleDark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666C0-2024-4D3B-A8B1-1075DF489B12}" name="Таблица3" displayName="Таблица3" ref="A1:S19" totalsRowShown="0" headerRowDxfId="100" dataDxfId="99">
  <autoFilter ref="A1:S19" xr:uid="{A1D666C0-2024-4D3B-A8B1-1075DF489B12}"/>
  <tableColumns count="19">
    <tableColumn id="1" xr3:uid="{AA42DB26-96AC-44FC-8794-F4C618E35783}" name="Part Number" dataDxfId="98"/>
    <tableColumn id="2" xr3:uid="{75499DCA-6F9A-4A69-B139-2415D2F6E149}" name="Description" dataDxfId="97"/>
    <tableColumn id="3" xr3:uid="{308ED3F9-51FC-4C54-92E4-FDC66EFD224B}" name="Manufacturer" dataDxfId="96"/>
    <tableColumn id="4" xr3:uid="{02D3C3B9-E590-40CA-B0F4-C4EE2AA7915B}" name="Package" dataDxfId="95"/>
    <tableColumn id="5" xr3:uid="{38220704-6DD4-4AD2-BD1E-A0332825C525}" name="Value" dataDxfId="94"/>
    <tableColumn id="6" xr3:uid="{8FDEC0D9-E2CA-4BB8-B2D0-99FDDA2D13FC}" name="Voltage_V" dataDxfId="93"/>
    <tableColumn id="7" xr3:uid="{4B7B1899-A024-4927-B819-05B8AB7F1A4F}" name="Dielectric_Class" dataDxfId="92"/>
    <tableColumn id="8" xr3:uid="{18C6B4D2-986D-458B-9004-DC19723D7508}" name="Tolerance" dataDxfId="91"/>
    <tableColumn id="9" xr3:uid="{600B0CC7-6320-4D2F-8003-90617A73B672}" name="SRF" dataDxfId="90"/>
    <tableColumn id="10" xr3:uid="{15BBF7E6-C730-4195-9989-0DE21A881CE2}" name="ComponentClass"/>
    <tableColumn id="11" xr3:uid="{C5280807-0971-4395-A135-871FFC915DD9}" name="Type" dataDxfId="89"/>
    <tableColumn id="12" xr3:uid="{A5A95FDD-6AB8-4FC0-8BFE-06B39668B524}" name="Library Path" dataDxfId="88"/>
    <tableColumn id="13" xr3:uid="{7413BCCE-C7CB-4CDB-BCBC-8C906A477AF3}" name="Library Ref" dataDxfId="87"/>
    <tableColumn id="14" xr3:uid="{F2D23F1E-82F0-4EB3-91E1-7382DA41712B}" name="Footprint Path 1" dataDxfId="86"/>
    <tableColumn id="15" xr3:uid="{45B157A2-7FCC-4D34-B168-05C10942A027}" name="Footprint Ref 1" dataDxfId="85">
      <calculatedColumnFormula>_xlfn.CONCAT("C",D2)</calculatedColumnFormula>
    </tableColumn>
    <tableColumn id="16" xr3:uid="{2CFED226-13BA-4AD0-BC45-33BCC68CFDCC}" name="Footprint Path 2" dataDxfId="84"/>
    <tableColumn id="17" xr3:uid="{B9AE8608-9237-4B66-B029-54037AB149ED}" name="Footprint Ref 2" dataDxfId="83">
      <calculatedColumnFormula>_xlfn.CONCAT(O2,"_RF")</calculatedColumnFormula>
    </tableColumn>
    <tableColumn id="18" xr3:uid="{0CC55410-2BE7-4061-98A9-8C91ED711AA1}" name="UID" dataDxfId="82">
      <calculatedColumnFormula>_xlfn.CONCAT("C-",D2,"-",G2,"-",F2,"-",E2," ", _xlfn.IFS(H2 ="±0,03", "A",H2 ="±0,1", "B", H2 = "±0,25", "C", H2 = "±0,5", "D", H2 = "±1%", "F",H2="±2%","G",H2="±5%", "J", H2="±10%", "K", H2="±20%", "M"))</calculatedColumnFormula>
    </tableColumn>
    <tableColumn id="19" xr3:uid="{970AC076-D2B0-4E5C-8710-1C5DBB715357}" name="PnP_name" dataDxfId="81">
      <calculatedColumnFormula>R2</calculatedColumnFormula>
    </tableColumn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CE85A-E408-4AF2-8A1A-DB893B88DCB9}" name="Таблица4" displayName="Таблица4" ref="A1:M29" totalsRowShown="0" headerRowDxfId="80" dataDxfId="79">
  <autoFilter ref="A1:M29" xr:uid="{A34CE85A-E408-4AF2-8A1A-DB893B88DCB9}"/>
  <tableColumns count="13">
    <tableColumn id="1" xr3:uid="{3E05BF58-D8F3-4B12-AE58-BFCFB2B92AB6}" name="Part Number" dataDxfId="78"/>
    <tableColumn id="2" xr3:uid="{51ECB2DD-0FCA-40BE-8E74-234E2B6D3DCB}" name="Description" dataDxfId="77"/>
    <tableColumn id="3" xr3:uid="{7C19743F-4D6A-4E20-AA46-29A2D1F58C7A}" name="Manufacturer" dataDxfId="76"/>
    <tableColumn id="4" xr3:uid="{17F264E1-158D-4D5C-878A-A3515E20CD40}" name="Package" dataDxfId="75"/>
    <tableColumn id="5" xr3:uid="{E346EB07-3C26-4EC2-A6D4-0027B49822B6}" name="Vin" dataDxfId="74"/>
    <tableColumn id="6" xr3:uid="{BFBA7EE9-1995-43FD-B276-F3BE4B3CB7EC}" name="Vout" dataDxfId="73"/>
    <tableColumn id="7" xr3:uid="{380C873A-03C8-4714-9180-B1312EB1E74D}" name="Type" dataDxfId="72"/>
    <tableColumn id="8" xr3:uid="{FA2BEED5-5AE6-4C34-9263-41FE351EA2E5}" name="Library Path" dataDxfId="71"/>
    <tableColumn id="9" xr3:uid="{CE74CE4B-8601-40CE-9F43-220411881E2A}" name="Library Ref" dataDxfId="70"/>
    <tableColumn id="10" xr3:uid="{18A7D2E3-255E-4468-9372-7C8A1825CE89}" name="Footprint Path" dataDxfId="69"/>
    <tableColumn id="11" xr3:uid="{3F004D98-B75C-4DD8-861E-0C25117800D3}" name="Footprint Ref" dataDxfId="68"/>
    <tableColumn id="12" xr3:uid="{EC3DE99D-A35F-44E9-8230-D8DE32D56430}" name="UID" dataDxfId="67">
      <calculatedColumnFormula>A2</calculatedColumnFormula>
    </tableColumn>
    <tableColumn id="13" xr3:uid="{C086E145-FB3A-4AB8-99FD-763DC5DB9E7A}" name="PnP_Name" dataDxfId="66">
      <calculatedColumnFormula>L2</calculatedColumnFormula>
    </tableColumn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796F4-0E9A-4FD9-96F0-8E2E1FAFB6A1}" name="Таблица5" displayName="Таблица5" ref="A1:L99" totalsRowShown="0" headerRowDxfId="65" dataDxfId="64">
  <autoFilter ref="A1:L99" xr:uid="{BA8796F4-0E9A-4FD9-96F0-8E2E1FAFB6A1}"/>
  <tableColumns count="12">
    <tableColumn id="1" xr3:uid="{4E47D3E6-A38E-40F5-83F3-40F1076D2958}" name="Part Number" dataDxfId="63"/>
    <tableColumn id="2" xr3:uid="{198BEEE1-E92F-4E81-98C4-A397E0824233}" name="Description" dataDxfId="62"/>
    <tableColumn id="3" xr3:uid="{A2990C67-1BBB-4892-BA41-CADA3EAFAB75}" name="Manufacturer" dataDxfId="61"/>
    <tableColumn id="4" xr3:uid="{5159EA1C-3DF5-4C38-8095-D8F08E9A4B76}" name="Package" dataDxfId="60"/>
    <tableColumn id="5" xr3:uid="{E75BE55D-9E9E-4A2B-A12F-678DB3FCFF1B}" name="Value" dataDxfId="59"/>
    <tableColumn id="6" xr3:uid="{61914768-3DCF-4A70-A9B1-6916D221D1EB}" name="Tolerance" dataDxfId="58"/>
    <tableColumn id="7" xr3:uid="{E0889B8B-D9A5-47CF-84F7-C7650674D5D8}" name="Library Path" dataDxfId="57"/>
    <tableColumn id="8" xr3:uid="{D92940B3-BF9B-45C3-BEDA-F8137F96E414}" name="Library Ref" dataDxfId="56"/>
    <tableColumn id="9" xr3:uid="{390D33FA-B157-42DE-A92D-559C1174D14A}" name="Footprint Path" dataDxfId="55"/>
    <tableColumn id="10" xr3:uid="{B14C2FFA-6598-4227-88C7-FB23AECA9EC6}" name="Footprint Ref" dataDxfId="54">
      <calculatedColumnFormula>_xlfn.CONCAT("R",D2)</calculatedColumnFormula>
    </tableColumn>
    <tableColumn id="11" xr3:uid="{6E4F688D-F08F-4234-8B27-88FC13476FFB}" name="UID" dataDxfId="53"/>
    <tableColumn id="12" xr3:uid="{03999ED8-C48A-460C-B424-3064071BEAD3}" name="PnP_Name" dataDxfId="52">
      <calculatedColumnFormula>K2</calculatedColumnFormula>
    </tableColumn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5CE5A5-9937-40F2-9007-E03CC96E60F2}" name="Таблица7" displayName="Таблица7" ref="A1:M16" totalsRowShown="0" headerRowDxfId="51" dataDxfId="50">
  <autoFilter ref="A1:M16" xr:uid="{E95CE5A5-9937-40F2-9007-E03CC96E60F2}"/>
  <tableColumns count="13">
    <tableColumn id="1" xr3:uid="{46FFBE7D-B3B9-4C26-B68E-82A014F32C43}" name="Part Number" dataDxfId="49"/>
    <tableColumn id="2" xr3:uid="{D04B2C99-29A3-47ED-9E85-03AC2F47D5CA}" name="Description" dataDxfId="48"/>
    <tableColumn id="3" xr3:uid="{81883DE9-152F-43BD-86B7-87A79A922CAC}" name="Manufacturer" dataDxfId="47"/>
    <tableColumn id="4" xr3:uid="{3A1D293E-6ECA-4F59-B4D4-12F9F47DF27C}" name="Package" dataDxfId="46"/>
    <tableColumn id="5" xr3:uid="{27977EF5-601D-4A5B-A70D-1A44278ADAAF}" name="Value" dataDxfId="45"/>
    <tableColumn id="6" xr3:uid="{0397BE76-4C05-4883-8BB7-A3B8A8ABD346}" name="ComponentClass"/>
    <tableColumn id="7" xr3:uid="{83495EAE-1357-4FBA-AB81-8B4DAAB0A8AD}" name="Q_Factor_at_Freq" dataDxfId="44"/>
    <tableColumn id="8" xr3:uid="{67F9E521-670A-454B-939A-C26A5DC15783}" name="Library Path" dataDxfId="43"/>
    <tableColumn id="9" xr3:uid="{70B34894-1342-45E3-B57A-944365FF6E45}" name="Library Ref" dataDxfId="42"/>
    <tableColumn id="10" xr3:uid="{889C14E2-A8DC-46D7-AC96-54E0AFE135BF}" name="Footprint Path" dataDxfId="41"/>
    <tableColumn id="11" xr3:uid="{0917132B-1BC3-43A0-8F74-CC2D9D7A0BF4}" name="Footprint Ref" dataDxfId="40"/>
    <tableColumn id="12" xr3:uid="{1B4B06CD-3724-49E4-9EF9-CCF0FB278C16}" name="UID" dataDxfId="39">
      <calculatedColumnFormula>_xlfn.CONCAT(_xlfn.IFS(I2 = "IND", "L-",I2 = "Ferrite", "F-"),A2)</calculatedColumnFormula>
    </tableColumn>
    <tableColumn id="13" xr3:uid="{D76FFFA9-EF1F-4224-8654-65BD5749012E}" name="PnP_Name" dataDxfId="38">
      <calculatedColumnFormula>L2</calculatedColumnFormula>
    </tableColumn>
  </tableColumns>
  <tableStyleInfo name="TableStyleDark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9E9085-CAB8-4225-9162-F699F3905D62}" name="Таблица8" displayName="Таблица8" ref="A1:K14" totalsRowShown="0" headerRowDxfId="37" dataDxfId="36">
  <autoFilter ref="A1:K14" xr:uid="{049E9085-CAB8-4225-9162-F699F3905D62}"/>
  <tableColumns count="11">
    <tableColumn id="1" xr3:uid="{7F53516B-E7BD-4BF5-9E3E-B4EA1C889DA4}" name="Part Number" dataDxfId="35"/>
    <tableColumn id="2" xr3:uid="{778C473A-CB05-484F-BFBD-CF9BDCCF5257}" name="Description" dataDxfId="34"/>
    <tableColumn id="3" xr3:uid="{E514E19E-8623-491B-A6C4-E02ADAAD795F}" name="Manufacturer" dataDxfId="33"/>
    <tableColumn id="4" xr3:uid="{F69C977A-0771-447F-AEA1-0B529329BF63}" name="Package" dataDxfId="32"/>
    <tableColumn id="5" xr3:uid="{3C67397B-313F-4EC9-A7F8-BF71C3A66B58}" name="Value" dataDxfId="31"/>
    <tableColumn id="6" xr3:uid="{B55A1355-C147-4CA8-8F39-A587163373FB}" name="Library Path" dataDxfId="30"/>
    <tableColumn id="7" xr3:uid="{DCCA8236-8393-40E7-87E5-ED624B882467}" name="Library Ref" dataDxfId="29"/>
    <tableColumn id="8" xr3:uid="{DE84AD06-CC66-43E6-8812-8F99107AA3C4}" name="Footprint Path" dataDxfId="28"/>
    <tableColumn id="9" xr3:uid="{0EC2A9AE-ABE6-4EB4-BB24-DC36BE9E4119}" name="Footprint Ref" dataDxfId="27"/>
    <tableColumn id="10" xr3:uid="{99351FCE-9207-42FE-80D5-9958A8612BB6}" name="UID" dataDxfId="26">
      <calculatedColumnFormula>_xlfn.CONCAT(_xlfn.IFS(G2 = "IND", "L-",G2 = "Ferrite", "F-"),A2)</calculatedColumnFormula>
    </tableColumn>
    <tableColumn id="11" xr3:uid="{084F98F1-C91C-41C4-93F7-F31AAF53633D}" name="PnP_Name" dataDxfId="25">
      <calculatedColumnFormula>J2</calculatedColumnFormula>
    </tableColumn>
  </tableColumns>
  <tableStyleInfo name="TableStyleDark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79" totalsRowShown="0" headerRowDxfId="24" dataDxfId="23">
  <autoFilter ref="A1:K79" xr:uid="{1FD5FABE-37A7-40DD-B0BB-8B0C0B397C06}"/>
  <sortState xmlns:xlrd2="http://schemas.microsoft.com/office/spreadsheetml/2017/richdata2" ref="A2:K60">
    <sortCondition ref="E1:E60"/>
  </sortState>
  <tableColumns count="11">
    <tableColumn id="1" xr3:uid="{7843C58A-8946-49E8-8B4F-6FC56C63F71C}" name="Part Number" dataDxfId="22"/>
    <tableColumn id="2" xr3:uid="{395C3B7F-A07F-45A1-AA9D-1223968173B0}" name="Description" dataDxfId="21"/>
    <tableColumn id="3" xr3:uid="{403BC260-59F4-40DA-94CC-AF7906879368}" name="Manufacturer" dataDxfId="20"/>
    <tableColumn id="4" xr3:uid="{CDCE9FA1-8746-41F4-936E-D0ABC21F422A}" name="Package" dataDxfId="19"/>
    <tableColumn id="13" xr3:uid="{59343C07-D35F-44D1-9368-6E1CCF91A8CF}" name="Type" dataDxfId="18"/>
    <tableColumn id="6" xr3:uid="{199B53A8-468F-45A7-8265-9A54793C9DB4}" name="Library Path" dataDxfId="17"/>
    <tableColumn id="7" xr3:uid="{D24C1035-72D8-4818-920F-6E9AED7E9E40}" name="Library Ref" dataDxfId="16"/>
    <tableColumn id="8" xr3:uid="{6AC72AD5-0057-42D7-A83B-E0C7D6F90F2B}" name="Footprint Path" dataDxfId="15"/>
    <tableColumn id="9" xr3:uid="{D4D59583-FBCB-4D0C-9DFF-8244BA403A96}" name="Footprint Ref"/>
    <tableColumn id="10" xr3:uid="{E5B71816-E1C8-4B3C-816B-DD3833C490FE}" name="UID" dataDxfId="14"/>
    <tableColumn id="11" xr3:uid="{A5236830-6661-40FC-85A8-C137FB0CCD24}" name="PnP_Name" dataDxfId="13"/>
  </tableColumns>
  <tableStyleInfo name="TableStyleDark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8D11DC-D3B4-41B0-9E6D-16E577335585}" name="Таблица9" displayName="Таблица9" ref="A1:K26" totalsRowShown="0" headerRowDxfId="12" dataDxfId="11">
  <autoFilter ref="A1:K26" xr:uid="{228D11DC-D3B4-41B0-9E6D-16E577335585}"/>
  <tableColumns count="11">
    <tableColumn id="1" xr3:uid="{6AB3B5DB-5FE8-4A84-9A31-9FA7BCAF98EE}" name="Part Number" dataDxfId="10"/>
    <tableColumn id="2" xr3:uid="{1F7D06E6-3D96-4783-8A48-CEE6A0E7884C}" name="Description" dataDxfId="9"/>
    <tableColumn id="3" xr3:uid="{B11ABE86-E927-4C53-BF75-9C432F06AD18}" name="Manufacturer" dataDxfId="8"/>
    <tableColumn id="4" xr3:uid="{891E6F7B-8883-4743-9C04-CB3302BEB2F1}" name="Type" dataDxfId="7"/>
    <tableColumn id="5" xr3:uid="{822A977A-21C0-46D3-B0FE-11D4E63E17EA}" name="FREQ" dataDxfId="6"/>
    <tableColumn id="6" xr3:uid="{FDAA4013-11CA-4B4F-AE3C-D8F0AA99AC41}" name="Library Path" dataDxfId="5"/>
    <tableColumn id="7" xr3:uid="{A6578727-6C98-48ED-9249-A487F5A6387C}" name="Library Ref" dataDxfId="4"/>
    <tableColumn id="8" xr3:uid="{BFF2F226-8DC7-4C2D-B801-CBB276C1AB46}" name="Footprint Path 1" dataDxfId="3"/>
    <tableColumn id="9" xr3:uid="{6806AFCF-5C93-4313-87FD-554D0A75122B}" name="Footprint Ref 1" dataDxfId="2"/>
    <tableColumn id="10" xr3:uid="{D0BA53E9-9171-4B74-9CBA-1789479BDF06}" name="UID" dataDxfId="1">
      <calculatedColumnFormula>A2</calculatedColumnFormula>
    </tableColumn>
    <tableColumn id="11" xr3:uid="{9206910B-9B13-40E0-B075-8ED883C959D1}" name="PnP_name" dataDxfId="0">
      <calculatedColumnFormula>J2</calculatedColumnFormula>
    </tableColumn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41"/>
  <sheetViews>
    <sheetView zoomScale="40" zoomScaleNormal="40" workbookViewId="0">
      <selection activeCell="C57" sqref="C57"/>
    </sheetView>
  </sheetViews>
  <sheetFormatPr defaultColWidth="11.125" defaultRowHeight="15.75" x14ac:dyDescent="0.25"/>
  <cols>
    <col min="1" max="1" width="44.25" customWidth="1"/>
    <col min="2" max="2" width="66" customWidth="1"/>
    <col min="3" max="3" width="24" customWidth="1"/>
    <col min="4" max="4" width="9.5" customWidth="1"/>
    <col min="5" max="5" width="7.625" bestFit="1" customWidth="1"/>
    <col min="6" max="6" width="11.125" customWidth="1"/>
    <col min="7" max="7" width="15.875" customWidth="1"/>
    <col min="8" max="8" width="10.75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4.75" customWidth="1"/>
    <col min="14" max="14" width="26.375" bestFit="1" customWidth="1"/>
    <col min="15" max="15" width="14.75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31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65</v>
      </c>
      <c r="B2" s="2" t="s">
        <v>66</v>
      </c>
      <c r="C2" s="3" t="s">
        <v>887</v>
      </c>
      <c r="D2" s="2" t="s">
        <v>9</v>
      </c>
      <c r="E2" s="3" t="s">
        <v>53</v>
      </c>
      <c r="F2" s="2">
        <v>50</v>
      </c>
      <c r="G2" s="3" t="s">
        <v>26</v>
      </c>
      <c r="H2" s="3" t="s">
        <v>22</v>
      </c>
      <c r="I2" s="3" t="s">
        <v>32</v>
      </c>
      <c r="J2" s="2" t="s">
        <v>868</v>
      </c>
      <c r="K2" s="2" t="s">
        <v>10</v>
      </c>
      <c r="L2" s="2" t="s">
        <v>18</v>
      </c>
      <c r="M2" s="2" t="str">
        <f t="shared" ref="M2:M41" si="0">_xlfn.CONCAT("C",D2)</f>
        <v>C0402</v>
      </c>
      <c r="N2" s="2" t="s">
        <v>18</v>
      </c>
      <c r="O2" s="2" t="str">
        <f t="shared" ref="O2:O41" si="1">_xlfn.CONCAT(M2,"_RF")</f>
        <v>C0402_RF</v>
      </c>
      <c r="P2" s="2" t="str">
        <f t="shared" ref="P2:P13" si="2"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 t="shared" ref="Q2:Q41" si="3">P2</f>
        <v>C-0402-NP0-50-0.01uF J</v>
      </c>
    </row>
    <row r="3" spans="1:17" s="2" customFormat="1" ht="20.100000000000001" customHeight="1" x14ac:dyDescent="0.25">
      <c r="A3" s="2" t="s">
        <v>314</v>
      </c>
      <c r="B3" s="2" t="s">
        <v>317</v>
      </c>
      <c r="C3" s="3" t="s">
        <v>887</v>
      </c>
      <c r="D3" s="5" t="s">
        <v>9</v>
      </c>
      <c r="E3" s="3" t="s">
        <v>315</v>
      </c>
      <c r="F3" s="2">
        <v>16</v>
      </c>
      <c r="G3" s="3" t="s">
        <v>27</v>
      </c>
      <c r="H3" s="3" t="s">
        <v>24</v>
      </c>
      <c r="I3" s="3" t="s">
        <v>32</v>
      </c>
      <c r="J3" s="2" t="s">
        <v>868</v>
      </c>
      <c r="K3" s="2" t="s">
        <v>10</v>
      </c>
      <c r="L3" s="2" t="s">
        <v>18</v>
      </c>
      <c r="M3" s="2" t="str">
        <f t="shared" si="0"/>
        <v>C0402</v>
      </c>
      <c r="N3" s="2" t="s">
        <v>18</v>
      </c>
      <c r="O3" s="2" t="str">
        <f t="shared" si="1"/>
        <v>C0402_RF</v>
      </c>
      <c r="P3" s="2" t="str">
        <f t="shared" si="2"/>
        <v>C-0402-X7R-16-0.068uF M</v>
      </c>
      <c r="Q3" s="2" t="str">
        <f t="shared" si="3"/>
        <v>C-0402-X7R-16-0.068uF M</v>
      </c>
    </row>
    <row r="4" spans="1:17" s="2" customFormat="1" ht="20.100000000000001" customHeight="1" x14ac:dyDescent="0.25">
      <c r="A4" s="2" t="s">
        <v>58</v>
      </c>
      <c r="B4" s="2" t="s">
        <v>59</v>
      </c>
      <c r="C4" s="3" t="s">
        <v>887</v>
      </c>
      <c r="D4" s="2" t="s">
        <v>9</v>
      </c>
      <c r="E4" s="3" t="s">
        <v>160</v>
      </c>
      <c r="F4" s="3">
        <v>16</v>
      </c>
      <c r="G4" s="3" t="s">
        <v>27</v>
      </c>
      <c r="H4" s="3" t="s">
        <v>23</v>
      </c>
      <c r="I4" s="4" t="s">
        <v>32</v>
      </c>
      <c r="J4" s="2" t="s">
        <v>868</v>
      </c>
      <c r="K4" s="2" t="s">
        <v>10</v>
      </c>
      <c r="L4" s="2" t="s">
        <v>18</v>
      </c>
      <c r="M4" s="2" t="str">
        <f t="shared" si="0"/>
        <v>C0402</v>
      </c>
      <c r="N4" s="2" t="s">
        <v>18</v>
      </c>
      <c r="O4" s="2" t="str">
        <f t="shared" si="1"/>
        <v>C0402_RF</v>
      </c>
      <c r="P4" s="2" t="str">
        <f t="shared" si="2"/>
        <v>C-0402-X7R-16-0.1uF K</v>
      </c>
      <c r="Q4" s="2" t="str">
        <f t="shared" si="3"/>
        <v>C-0402-X7R-16-0.1uF K</v>
      </c>
    </row>
    <row r="5" spans="1:17" s="2" customFormat="1" ht="20.100000000000001" customHeight="1" x14ac:dyDescent="0.25">
      <c r="A5" s="2" t="s">
        <v>63</v>
      </c>
      <c r="B5" s="2" t="s">
        <v>64</v>
      </c>
      <c r="C5" s="3" t="s">
        <v>887</v>
      </c>
      <c r="D5" s="2" t="s">
        <v>9</v>
      </c>
      <c r="E5" s="2" t="s">
        <v>160</v>
      </c>
      <c r="F5" s="2">
        <v>50</v>
      </c>
      <c r="G5" s="2" t="s">
        <v>28</v>
      </c>
      <c r="H5" s="3" t="s">
        <v>23</v>
      </c>
      <c r="I5" s="2" t="s">
        <v>32</v>
      </c>
      <c r="J5" s="2" t="s">
        <v>868</v>
      </c>
      <c r="K5" s="2" t="s">
        <v>10</v>
      </c>
      <c r="L5" s="2" t="s">
        <v>18</v>
      </c>
      <c r="M5" s="2" t="str">
        <f t="shared" si="0"/>
        <v>C0402</v>
      </c>
      <c r="N5" s="2" t="s">
        <v>18</v>
      </c>
      <c r="O5" s="2" t="str">
        <f t="shared" si="1"/>
        <v>C0402_RF</v>
      </c>
      <c r="P5" s="2" t="str">
        <f t="shared" si="2"/>
        <v>C-0402-X5R-50-0.1uF K</v>
      </c>
      <c r="Q5" s="2" t="str">
        <f t="shared" si="3"/>
        <v>C-0402-X5R-50-0.1uF K</v>
      </c>
    </row>
    <row r="6" spans="1:17" s="2" customFormat="1" ht="20.100000000000001" customHeight="1" x14ac:dyDescent="0.25">
      <c r="A6" s="2" t="s">
        <v>158</v>
      </c>
      <c r="B6" s="2" t="s">
        <v>159</v>
      </c>
      <c r="C6" s="3" t="s">
        <v>887</v>
      </c>
      <c r="D6" s="5" t="s">
        <v>9</v>
      </c>
      <c r="E6" s="3" t="s">
        <v>160</v>
      </c>
      <c r="F6" s="2">
        <v>16</v>
      </c>
      <c r="G6" s="3" t="s">
        <v>28</v>
      </c>
      <c r="H6" s="3" t="s">
        <v>23</v>
      </c>
      <c r="I6" s="3" t="s">
        <v>32</v>
      </c>
      <c r="J6" s="2" t="s">
        <v>868</v>
      </c>
      <c r="K6" s="2" t="s">
        <v>10</v>
      </c>
      <c r="L6" s="2" t="s">
        <v>18</v>
      </c>
      <c r="M6" s="2" t="str">
        <f t="shared" si="0"/>
        <v>C0402</v>
      </c>
      <c r="N6" s="2" t="s">
        <v>18</v>
      </c>
      <c r="O6" s="2" t="str">
        <f t="shared" si="1"/>
        <v>C0402_RF</v>
      </c>
      <c r="P6" s="2" t="str">
        <f t="shared" si="2"/>
        <v>C-0402-X5R-16-0.1uF K</v>
      </c>
      <c r="Q6" s="2" t="str">
        <f t="shared" si="3"/>
        <v>C-0402-X5R-16-0.1uF K</v>
      </c>
    </row>
    <row r="7" spans="1:17" s="2" customFormat="1" ht="20.100000000000001" customHeight="1" x14ac:dyDescent="0.25">
      <c r="A7" s="2" t="s">
        <v>469</v>
      </c>
      <c r="B7" s="2" t="s">
        <v>151</v>
      </c>
      <c r="C7" s="3" t="s">
        <v>887</v>
      </c>
      <c r="D7" s="5" t="s">
        <v>9</v>
      </c>
      <c r="E7" s="3" t="s">
        <v>470</v>
      </c>
      <c r="F7" s="2">
        <v>16</v>
      </c>
      <c r="G7" s="3" t="s">
        <v>28</v>
      </c>
      <c r="H7" s="3" t="s">
        <v>24</v>
      </c>
      <c r="I7" s="3" t="s">
        <v>32</v>
      </c>
      <c r="J7" s="2" t="s">
        <v>868</v>
      </c>
      <c r="K7" s="2" t="s">
        <v>10</v>
      </c>
      <c r="L7" s="2" t="s">
        <v>18</v>
      </c>
      <c r="M7" s="2" t="str">
        <f t="shared" si="0"/>
        <v>C0402</v>
      </c>
      <c r="N7" s="2" t="s">
        <v>18</v>
      </c>
      <c r="O7" s="2" t="str">
        <f t="shared" si="1"/>
        <v>C0402_RF</v>
      </c>
      <c r="P7" s="2" t="str">
        <f t="shared" si="2"/>
        <v>C-0402-X5R-16-0.22uF M</v>
      </c>
      <c r="Q7" s="2" t="str">
        <f t="shared" si="3"/>
        <v>C-0402-X5R-16-0.22uF M</v>
      </c>
    </row>
    <row r="8" spans="1:17" s="2" customFormat="1" ht="20.100000000000001" customHeight="1" x14ac:dyDescent="0.25">
      <c r="A8" s="2" t="s">
        <v>147</v>
      </c>
      <c r="B8" s="2" t="s">
        <v>149</v>
      </c>
      <c r="C8" s="2" t="s">
        <v>83</v>
      </c>
      <c r="D8" s="5">
        <v>2220</v>
      </c>
      <c r="E8" s="3" t="s">
        <v>148</v>
      </c>
      <c r="F8" s="2">
        <v>50</v>
      </c>
      <c r="G8" s="3" t="s">
        <v>26</v>
      </c>
      <c r="H8" s="3" t="s">
        <v>22</v>
      </c>
      <c r="I8" s="3" t="s">
        <v>32</v>
      </c>
      <c r="J8" s="2" t="s">
        <v>868</v>
      </c>
      <c r="K8" s="2" t="s">
        <v>10</v>
      </c>
      <c r="L8" s="2" t="s">
        <v>18</v>
      </c>
      <c r="M8" s="2" t="str">
        <f t="shared" si="0"/>
        <v>C2220</v>
      </c>
      <c r="N8" s="2" t="s">
        <v>18</v>
      </c>
      <c r="O8" s="2" t="str">
        <f t="shared" si="1"/>
        <v>C2220_RF</v>
      </c>
      <c r="P8" s="2" t="str">
        <f t="shared" si="2"/>
        <v>C-2220-NP0-50-0.47uF J</v>
      </c>
      <c r="Q8" s="2" t="str">
        <f t="shared" si="3"/>
        <v>C-2220-NP0-50-0.47uF J</v>
      </c>
    </row>
    <row r="9" spans="1:17" s="2" customFormat="1" ht="20.100000000000001" customHeight="1" x14ac:dyDescent="0.25">
      <c r="A9" s="2" t="s">
        <v>150</v>
      </c>
      <c r="B9" s="2" t="s">
        <v>151</v>
      </c>
      <c r="C9" s="3" t="s">
        <v>887</v>
      </c>
      <c r="D9" s="5" t="s">
        <v>9</v>
      </c>
      <c r="E9" s="3" t="s">
        <v>148</v>
      </c>
      <c r="F9" s="2">
        <v>16</v>
      </c>
      <c r="G9" s="3" t="s">
        <v>28</v>
      </c>
      <c r="H9" s="3" t="s">
        <v>24</v>
      </c>
      <c r="I9" s="3" t="s">
        <v>32</v>
      </c>
      <c r="J9" s="2" t="s">
        <v>868</v>
      </c>
      <c r="K9" s="2" t="s">
        <v>10</v>
      </c>
      <c r="L9" s="2" t="s">
        <v>18</v>
      </c>
      <c r="M9" s="2" t="str">
        <f t="shared" si="0"/>
        <v>C0402</v>
      </c>
      <c r="N9" s="2" t="s">
        <v>18</v>
      </c>
      <c r="O9" s="2" t="str">
        <f t="shared" si="1"/>
        <v>C0402_RF</v>
      </c>
      <c r="P9" s="2" t="str">
        <f t="shared" si="2"/>
        <v>C-0402-X5R-16-0.47uF M</v>
      </c>
      <c r="Q9" s="2" t="str">
        <f t="shared" si="3"/>
        <v>C-0402-X5R-16-0.47uF M</v>
      </c>
    </row>
    <row r="10" spans="1:17" s="2" customFormat="1" ht="20.100000000000001" customHeight="1" x14ac:dyDescent="0.25">
      <c r="A10" s="2" t="s">
        <v>55</v>
      </c>
      <c r="B10" s="2" t="s">
        <v>56</v>
      </c>
      <c r="C10" s="3" t="s">
        <v>887</v>
      </c>
      <c r="D10" s="2" t="s">
        <v>9</v>
      </c>
      <c r="E10" s="3" t="s">
        <v>57</v>
      </c>
      <c r="F10" s="3">
        <v>50</v>
      </c>
      <c r="G10" s="3" t="s">
        <v>26</v>
      </c>
      <c r="H10" s="3" t="s">
        <v>22</v>
      </c>
      <c r="I10" s="4" t="s">
        <v>32</v>
      </c>
      <c r="J10" s="2" t="s">
        <v>868</v>
      </c>
      <c r="K10" s="2" t="s">
        <v>10</v>
      </c>
      <c r="L10" s="2" t="s">
        <v>18</v>
      </c>
      <c r="M10" s="2" t="str">
        <f t="shared" si="0"/>
        <v>C0402</v>
      </c>
      <c r="N10" s="2" t="s">
        <v>18</v>
      </c>
      <c r="O10" s="2" t="str">
        <f t="shared" si="1"/>
        <v>C0402_RF</v>
      </c>
      <c r="P10" s="2" t="str">
        <f t="shared" si="2"/>
        <v>C-0402-NP0-50-1000pF J</v>
      </c>
      <c r="Q10" s="2" t="str">
        <f t="shared" si="3"/>
        <v>C-0402-NP0-50-1000pF J</v>
      </c>
    </row>
    <row r="11" spans="1:17" s="2" customFormat="1" ht="20.100000000000001" customHeight="1" x14ac:dyDescent="0.25">
      <c r="A11" s="2" t="s">
        <v>68</v>
      </c>
      <c r="B11" s="2" t="s">
        <v>67</v>
      </c>
      <c r="C11" s="3" t="s">
        <v>887</v>
      </c>
      <c r="D11" s="5" t="s">
        <v>9</v>
      </c>
      <c r="E11" s="2" t="s">
        <v>69</v>
      </c>
      <c r="F11" s="2">
        <v>50</v>
      </c>
      <c r="G11" s="3" t="s">
        <v>26</v>
      </c>
      <c r="H11" s="3" t="s">
        <v>21</v>
      </c>
      <c r="I11" s="3" t="s">
        <v>32</v>
      </c>
      <c r="J11" s="2" t="s">
        <v>868</v>
      </c>
      <c r="K11" s="2" t="s">
        <v>10</v>
      </c>
      <c r="L11" s="2" t="s">
        <v>18</v>
      </c>
      <c r="M11" s="2" t="str">
        <f t="shared" si="0"/>
        <v>C0402</v>
      </c>
      <c r="N11" s="2" t="s">
        <v>18</v>
      </c>
      <c r="O11" s="2" t="str">
        <f t="shared" si="1"/>
        <v>C0402_RF</v>
      </c>
      <c r="P11" s="2" t="str">
        <f t="shared" si="2"/>
        <v>C-0402-NP0-50-100pF G</v>
      </c>
      <c r="Q11" s="2" t="str">
        <f t="shared" si="3"/>
        <v>C-0402-NP0-50-100pF G</v>
      </c>
    </row>
    <row r="12" spans="1:17" s="2" customFormat="1" ht="20.100000000000001" customHeight="1" x14ac:dyDescent="0.25">
      <c r="A12" s="2" t="s">
        <v>165</v>
      </c>
      <c r="B12" s="2" t="s">
        <v>166</v>
      </c>
      <c r="C12" s="3" t="s">
        <v>887</v>
      </c>
      <c r="D12" s="5" t="s">
        <v>9</v>
      </c>
      <c r="E12" s="3" t="s">
        <v>167</v>
      </c>
      <c r="F12" s="2">
        <v>50</v>
      </c>
      <c r="G12" s="3" t="s">
        <v>26</v>
      </c>
      <c r="H12" s="3" t="s">
        <v>22</v>
      </c>
      <c r="I12" s="3" t="s">
        <v>32</v>
      </c>
      <c r="J12" s="2" t="s">
        <v>868</v>
      </c>
      <c r="K12" s="2" t="s">
        <v>10</v>
      </c>
      <c r="L12" s="2" t="s">
        <v>18</v>
      </c>
      <c r="M12" s="2" t="str">
        <f t="shared" si="0"/>
        <v>C0402</v>
      </c>
      <c r="N12" s="2" t="s">
        <v>18</v>
      </c>
      <c r="O12" s="2" t="str">
        <f t="shared" si="1"/>
        <v>C0402_RF</v>
      </c>
      <c r="P12" s="2" t="str">
        <f t="shared" si="2"/>
        <v>C-0402-NP0-50-10pF J</v>
      </c>
      <c r="Q12" s="2" t="str">
        <f t="shared" si="3"/>
        <v>C-0402-NP0-50-10pF J</v>
      </c>
    </row>
    <row r="13" spans="1:17" s="2" customFormat="1" ht="20.100000000000001" customHeight="1" x14ac:dyDescent="0.25">
      <c r="A13" s="2" t="s">
        <v>60</v>
      </c>
      <c r="B13" s="2" t="s">
        <v>61</v>
      </c>
      <c r="C13" s="3" t="s">
        <v>887</v>
      </c>
      <c r="D13" s="2" t="s">
        <v>12</v>
      </c>
      <c r="E13" s="2" t="s">
        <v>84</v>
      </c>
      <c r="F13" s="2">
        <v>50</v>
      </c>
      <c r="G13" s="2" t="s">
        <v>28</v>
      </c>
      <c r="H13" s="3" t="s">
        <v>23</v>
      </c>
      <c r="I13" s="3" t="s">
        <v>32</v>
      </c>
      <c r="J13" s="2" t="s">
        <v>868</v>
      </c>
      <c r="K13" s="2" t="s">
        <v>10</v>
      </c>
      <c r="L13" s="2" t="s">
        <v>18</v>
      </c>
      <c r="M13" s="2" t="str">
        <f t="shared" si="0"/>
        <v>C0805</v>
      </c>
      <c r="N13" s="2" t="s">
        <v>18</v>
      </c>
      <c r="O13" s="2" t="str">
        <f t="shared" si="1"/>
        <v>C0805_RF</v>
      </c>
      <c r="P13" s="2" t="str">
        <f t="shared" si="2"/>
        <v>C-0805-X5R-50-10uF K</v>
      </c>
      <c r="Q13" s="2" t="str">
        <f t="shared" si="3"/>
        <v>C-0805-X5R-50-10uF K</v>
      </c>
    </row>
    <row r="14" spans="1:17" s="2" customFormat="1" ht="20.100000000000001" customHeight="1" x14ac:dyDescent="0.25">
      <c r="A14" s="2" t="s">
        <v>81</v>
      </c>
      <c r="B14" s="2" t="s">
        <v>82</v>
      </c>
      <c r="C14" s="2" t="s">
        <v>83</v>
      </c>
      <c r="D14" s="2">
        <v>1206</v>
      </c>
      <c r="E14" s="2" t="s">
        <v>84</v>
      </c>
      <c r="F14" s="2">
        <v>10</v>
      </c>
      <c r="I14" s="3" t="s">
        <v>85</v>
      </c>
      <c r="J14" s="2" t="s">
        <v>868</v>
      </c>
      <c r="K14" s="2" t="s">
        <v>86</v>
      </c>
      <c r="L14" s="2" t="s">
        <v>18</v>
      </c>
      <c r="M14" s="2" t="str">
        <f t="shared" si="0"/>
        <v>C1206</v>
      </c>
      <c r="N14" s="2" t="s">
        <v>18</v>
      </c>
      <c r="O14" s="2" t="str">
        <f t="shared" si="1"/>
        <v>C1206_RF</v>
      </c>
      <c r="P14" s="2" t="s">
        <v>220</v>
      </c>
      <c r="Q14" s="2" t="str">
        <f t="shared" si="3"/>
        <v>C-A-10-10uF K</v>
      </c>
    </row>
    <row r="15" spans="1:17" s="2" customFormat="1" ht="20.100000000000001" customHeight="1" x14ac:dyDescent="0.25">
      <c r="A15" s="2" t="s">
        <v>371</v>
      </c>
      <c r="B15" s="2" t="s">
        <v>372</v>
      </c>
      <c r="C15" s="3" t="s">
        <v>887</v>
      </c>
      <c r="D15" s="5" t="s">
        <v>9</v>
      </c>
      <c r="E15" s="2" t="s">
        <v>84</v>
      </c>
      <c r="F15" s="6" t="s">
        <v>373</v>
      </c>
      <c r="G15" s="3" t="s">
        <v>28</v>
      </c>
      <c r="H15" s="3" t="s">
        <v>24</v>
      </c>
      <c r="I15" s="3" t="s">
        <v>32</v>
      </c>
      <c r="J15" s="2" t="s">
        <v>868</v>
      </c>
      <c r="K15" s="2" t="s">
        <v>10</v>
      </c>
      <c r="L15" s="2" t="s">
        <v>18</v>
      </c>
      <c r="M15" s="2" t="str">
        <f t="shared" si="0"/>
        <v>C0402</v>
      </c>
      <c r="N15" s="2" t="s">
        <v>18</v>
      </c>
      <c r="O15" s="2" t="str">
        <f t="shared" si="1"/>
        <v>C0402_RF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3"/>
        <v>C-0402-X5R-6.3-10uF M</v>
      </c>
    </row>
    <row r="16" spans="1:17" s="2" customFormat="1" ht="20.100000000000001" customHeight="1" x14ac:dyDescent="0.25">
      <c r="A16" s="2" t="s">
        <v>161</v>
      </c>
      <c r="B16" s="2" t="s">
        <v>162</v>
      </c>
      <c r="C16" s="3" t="s">
        <v>887</v>
      </c>
      <c r="D16" s="5" t="s">
        <v>9</v>
      </c>
      <c r="E16" s="3" t="s">
        <v>214</v>
      </c>
      <c r="F16" s="2">
        <v>50</v>
      </c>
      <c r="G16" s="2" t="s">
        <v>27</v>
      </c>
      <c r="H16" s="3" t="s">
        <v>22</v>
      </c>
      <c r="I16" s="3" t="s">
        <v>32</v>
      </c>
      <c r="J16" s="2" t="s">
        <v>868</v>
      </c>
      <c r="K16" s="2" t="s">
        <v>10</v>
      </c>
      <c r="L16" s="2" t="s">
        <v>18</v>
      </c>
      <c r="M16" s="2" t="str">
        <f t="shared" si="0"/>
        <v>C0402</v>
      </c>
      <c r="N16" s="2" t="s">
        <v>18</v>
      </c>
      <c r="O16" s="2" t="str">
        <f t="shared" si="1"/>
        <v>C0402_RF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3"/>
        <v>C-0402-X7R-50-1500pF J</v>
      </c>
    </row>
    <row r="17" spans="1:17" s="2" customFormat="1" ht="20.100000000000001" customHeight="1" x14ac:dyDescent="0.25">
      <c r="A17" s="2" t="s">
        <v>311</v>
      </c>
      <c r="B17" s="2" t="s">
        <v>313</v>
      </c>
      <c r="C17" s="3" t="s">
        <v>887</v>
      </c>
      <c r="D17" s="5" t="s">
        <v>9</v>
      </c>
      <c r="E17" s="3" t="s">
        <v>312</v>
      </c>
      <c r="F17" s="2">
        <v>25</v>
      </c>
      <c r="G17" s="3" t="s">
        <v>27</v>
      </c>
      <c r="H17" s="3" t="s">
        <v>23</v>
      </c>
      <c r="I17" s="3" t="s">
        <v>32</v>
      </c>
      <c r="J17" s="2" t="s">
        <v>868</v>
      </c>
      <c r="K17" s="2" t="s">
        <v>10</v>
      </c>
      <c r="L17" s="2" t="s">
        <v>18</v>
      </c>
      <c r="M17" s="2" t="str">
        <f t="shared" si="0"/>
        <v>C0402</v>
      </c>
      <c r="N17" s="2" t="s">
        <v>18</v>
      </c>
      <c r="O17" s="2" t="str">
        <f t="shared" si="1"/>
        <v>C0402_RF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3"/>
        <v>C-0402-X7R-25-1800pF K</v>
      </c>
    </row>
    <row r="18" spans="1:17" s="2" customFormat="1" ht="20.100000000000001" customHeight="1" x14ac:dyDescent="0.25">
      <c r="A18" s="2" t="s">
        <v>306</v>
      </c>
      <c r="B18" s="2" t="s">
        <v>307</v>
      </c>
      <c r="C18" s="3" t="s">
        <v>887</v>
      </c>
      <c r="D18" s="5" t="s">
        <v>9</v>
      </c>
      <c r="E18" s="3" t="s">
        <v>308</v>
      </c>
      <c r="F18" s="2">
        <v>25</v>
      </c>
      <c r="G18" s="3" t="s">
        <v>28</v>
      </c>
      <c r="H18" s="3" t="s">
        <v>24</v>
      </c>
      <c r="I18" s="3" t="s">
        <v>32</v>
      </c>
      <c r="J18" s="2" t="s">
        <v>868</v>
      </c>
      <c r="K18" s="2" t="s">
        <v>10</v>
      </c>
      <c r="L18" s="2" t="s">
        <v>18</v>
      </c>
      <c r="M18" s="2" t="str">
        <f t="shared" si="0"/>
        <v>C0402</v>
      </c>
      <c r="N18" s="2" t="s">
        <v>18</v>
      </c>
      <c r="O18" s="2" t="str">
        <f t="shared" si="1"/>
        <v>C0402_RF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3"/>
        <v>C-0402-X5R-25-1uF M</v>
      </c>
    </row>
    <row r="19" spans="1:17" s="2" customFormat="1" ht="20.100000000000001" customHeight="1" x14ac:dyDescent="0.25">
      <c r="A19" s="2" t="s">
        <v>411</v>
      </c>
      <c r="B19" s="2" t="s">
        <v>412</v>
      </c>
      <c r="C19" s="3" t="s">
        <v>887</v>
      </c>
      <c r="D19" s="5" t="s">
        <v>9</v>
      </c>
      <c r="E19" s="3" t="s">
        <v>413</v>
      </c>
      <c r="F19" s="2">
        <v>50</v>
      </c>
      <c r="G19" s="3" t="s">
        <v>27</v>
      </c>
      <c r="H19" s="3" t="s">
        <v>23</v>
      </c>
      <c r="I19" s="3" t="s">
        <v>32</v>
      </c>
      <c r="J19" s="2" t="s">
        <v>868</v>
      </c>
      <c r="K19" s="2" t="s">
        <v>10</v>
      </c>
      <c r="L19" s="2" t="s">
        <v>18</v>
      </c>
      <c r="M19" s="2" t="str">
        <f t="shared" si="0"/>
        <v>C0402</v>
      </c>
      <c r="N19" s="2" t="s">
        <v>18</v>
      </c>
      <c r="O19" s="2" t="str">
        <f t="shared" si="1"/>
        <v>C0402_RF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3"/>
        <v>C-0402-X7R-50-2200pF K</v>
      </c>
    </row>
    <row r="20" spans="1:17" s="2" customFormat="1" ht="20.100000000000001" customHeight="1" x14ac:dyDescent="0.25">
      <c r="A20" s="3" t="s">
        <v>184</v>
      </c>
      <c r="B20" s="2" t="s">
        <v>185</v>
      </c>
      <c r="C20" s="3" t="s">
        <v>186</v>
      </c>
      <c r="D20" s="2" t="s">
        <v>187</v>
      </c>
      <c r="E20" s="3" t="s">
        <v>217</v>
      </c>
      <c r="F20" s="2">
        <v>50</v>
      </c>
      <c r="H20" s="3" t="s">
        <v>24</v>
      </c>
      <c r="I20" s="2" t="s">
        <v>183</v>
      </c>
      <c r="J20" s="2" t="s">
        <v>868</v>
      </c>
      <c r="K20" s="2" t="s">
        <v>86</v>
      </c>
      <c r="L20" s="2" t="s">
        <v>18</v>
      </c>
      <c r="M20" s="2" t="str">
        <f t="shared" si="0"/>
        <v>C10x10</v>
      </c>
      <c r="O20" s="2" t="str">
        <f t="shared" si="1"/>
        <v>C10x10_RF</v>
      </c>
      <c r="P20" s="3" t="s">
        <v>219</v>
      </c>
      <c r="Q20" s="2" t="str">
        <f t="shared" si="3"/>
        <v>C-UUD1H221MNL1GS</v>
      </c>
    </row>
    <row r="21" spans="1:17" s="2" customFormat="1" ht="20.100000000000001" customHeight="1" x14ac:dyDescent="0.25">
      <c r="A21" s="2" t="s">
        <v>405</v>
      </c>
      <c r="B21" s="2" t="s">
        <v>406</v>
      </c>
      <c r="C21" s="3" t="s">
        <v>887</v>
      </c>
      <c r="D21" s="5" t="s">
        <v>11</v>
      </c>
      <c r="E21" s="3" t="s">
        <v>407</v>
      </c>
      <c r="F21" s="2">
        <v>16</v>
      </c>
      <c r="G21" s="3" t="s">
        <v>28</v>
      </c>
      <c r="H21" s="3" t="s">
        <v>24</v>
      </c>
      <c r="I21" s="3" t="s">
        <v>32</v>
      </c>
      <c r="J21" s="2" t="s">
        <v>868</v>
      </c>
      <c r="K21" s="2" t="s">
        <v>10</v>
      </c>
      <c r="L21" s="2" t="s">
        <v>18</v>
      </c>
      <c r="M21" s="2" t="str">
        <f t="shared" si="0"/>
        <v>C0603</v>
      </c>
      <c r="O21" s="2" t="str">
        <f t="shared" si="1"/>
        <v>C0603_RF</v>
      </c>
      <c r="P21" s="2" t="str">
        <f t="shared" ref="P21:P26" si="4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3"/>
        <v>C-0603-X5R-16-22uF M</v>
      </c>
    </row>
    <row r="22" spans="1:17" s="2" customFormat="1" ht="20.100000000000001" customHeight="1" x14ac:dyDescent="0.25">
      <c r="A22" s="2" t="s">
        <v>463</v>
      </c>
      <c r="B22" s="2" t="s">
        <v>466</v>
      </c>
      <c r="C22" s="3" t="s">
        <v>887</v>
      </c>
      <c r="D22" s="5" t="s">
        <v>9</v>
      </c>
      <c r="E22" s="3" t="s">
        <v>464</v>
      </c>
      <c r="F22" s="2">
        <v>50</v>
      </c>
      <c r="G22" s="3" t="s">
        <v>27</v>
      </c>
      <c r="H22" s="3" t="s">
        <v>23</v>
      </c>
      <c r="I22" s="3" t="s">
        <v>32</v>
      </c>
      <c r="J22" s="2" t="s">
        <v>868</v>
      </c>
      <c r="K22" s="2" t="s">
        <v>10</v>
      </c>
      <c r="L22" s="2" t="s">
        <v>18</v>
      </c>
      <c r="M22" s="2" t="str">
        <f t="shared" si="0"/>
        <v>C0402</v>
      </c>
      <c r="N22" s="2" t="s">
        <v>18</v>
      </c>
      <c r="O22" s="2" t="str">
        <f t="shared" si="1"/>
        <v>C0402_RF</v>
      </c>
      <c r="P22" s="2" t="str">
        <f t="shared" si="4"/>
        <v>C-0402-X7R-50-3300pF K</v>
      </c>
      <c r="Q22" s="2" t="str">
        <f t="shared" si="3"/>
        <v>C-0402-X7R-50-3300pF K</v>
      </c>
    </row>
    <row r="23" spans="1:17" s="2" customFormat="1" ht="20.100000000000001" customHeight="1" x14ac:dyDescent="0.25">
      <c r="A23" s="2" t="s">
        <v>316</v>
      </c>
      <c r="B23" s="2" t="s">
        <v>318</v>
      </c>
      <c r="C23" s="3" t="s">
        <v>887</v>
      </c>
      <c r="D23" s="5" t="s">
        <v>9</v>
      </c>
      <c r="E23" s="3" t="s">
        <v>319</v>
      </c>
      <c r="F23" s="2">
        <v>50</v>
      </c>
      <c r="G23" s="3" t="s">
        <v>26</v>
      </c>
      <c r="H23" s="3" t="s">
        <v>22</v>
      </c>
      <c r="I23" s="3" t="s">
        <v>32</v>
      </c>
      <c r="J23" s="2" t="s">
        <v>868</v>
      </c>
      <c r="K23" s="2" t="s">
        <v>10</v>
      </c>
      <c r="L23" s="2" t="s">
        <v>18</v>
      </c>
      <c r="M23" s="2" t="str">
        <f t="shared" si="0"/>
        <v>C0402</v>
      </c>
      <c r="N23" s="2" t="s">
        <v>18</v>
      </c>
      <c r="O23" s="2" t="str">
        <f t="shared" si="1"/>
        <v>C0402_RF</v>
      </c>
      <c r="P23" s="2" t="str">
        <f t="shared" si="4"/>
        <v>C-0402-NP0-50-390pF J</v>
      </c>
      <c r="Q23" s="2" t="str">
        <f t="shared" si="3"/>
        <v>C-0402-NP0-50-390pF J</v>
      </c>
    </row>
    <row r="24" spans="1:17" s="2" customFormat="1" ht="20.100000000000001" customHeight="1" x14ac:dyDescent="0.25">
      <c r="A24" s="2" t="s">
        <v>465</v>
      </c>
      <c r="B24" s="2" t="s">
        <v>467</v>
      </c>
      <c r="C24" s="3" t="s">
        <v>887</v>
      </c>
      <c r="D24" s="5" t="s">
        <v>9</v>
      </c>
      <c r="E24" s="3" t="s">
        <v>468</v>
      </c>
      <c r="F24" s="2">
        <v>50</v>
      </c>
      <c r="G24" s="3" t="s">
        <v>26</v>
      </c>
      <c r="H24" s="3" t="s">
        <v>22</v>
      </c>
      <c r="I24" s="3" t="s">
        <v>32</v>
      </c>
      <c r="J24" s="2" t="s">
        <v>868</v>
      </c>
      <c r="K24" s="2" t="s">
        <v>10</v>
      </c>
      <c r="L24" s="2" t="s">
        <v>18</v>
      </c>
      <c r="M24" s="2" t="str">
        <f t="shared" si="0"/>
        <v>C0402</v>
      </c>
      <c r="N24" s="2" t="s">
        <v>18</v>
      </c>
      <c r="O24" s="2" t="str">
        <f t="shared" si="1"/>
        <v>C0402_RF</v>
      </c>
      <c r="P24" s="2" t="str">
        <f t="shared" si="4"/>
        <v>C-0402-NP0-50-39pF J</v>
      </c>
      <c r="Q24" s="2" t="str">
        <f t="shared" si="3"/>
        <v>C-0402-NP0-50-39pF J</v>
      </c>
    </row>
    <row r="25" spans="1:17" s="2" customFormat="1" ht="20.100000000000001" customHeight="1" x14ac:dyDescent="0.25">
      <c r="A25" s="2" t="s">
        <v>408</v>
      </c>
      <c r="B25" s="2" t="s">
        <v>409</v>
      </c>
      <c r="C25" s="3" t="s">
        <v>887</v>
      </c>
      <c r="D25" s="5" t="s">
        <v>9</v>
      </c>
      <c r="E25" s="3" t="s">
        <v>410</v>
      </c>
      <c r="F25" s="2">
        <v>50</v>
      </c>
      <c r="G25" s="3" t="s">
        <v>27</v>
      </c>
      <c r="H25" s="3" t="s">
        <v>23</v>
      </c>
      <c r="I25" s="3" t="s">
        <v>32</v>
      </c>
      <c r="J25" s="2" t="s">
        <v>868</v>
      </c>
      <c r="K25" s="2" t="s">
        <v>10</v>
      </c>
      <c r="L25" s="2" t="s">
        <v>18</v>
      </c>
      <c r="M25" s="2" t="str">
        <f t="shared" si="0"/>
        <v>C0402</v>
      </c>
      <c r="N25" s="2" t="s">
        <v>18</v>
      </c>
      <c r="O25" s="2" t="str">
        <f t="shared" si="1"/>
        <v>C0402_RF</v>
      </c>
      <c r="P25" s="2" t="str">
        <f t="shared" si="4"/>
        <v>C-0402-X7R-50-4700pF K</v>
      </c>
      <c r="Q25" s="2" t="str">
        <f t="shared" si="3"/>
        <v>C-0402-X7R-50-4700pF K</v>
      </c>
    </row>
    <row r="26" spans="1:17" s="2" customFormat="1" ht="20.100000000000001" customHeight="1" x14ac:dyDescent="0.25">
      <c r="A26" s="2" t="s">
        <v>435</v>
      </c>
      <c r="B26" s="2" t="s">
        <v>436</v>
      </c>
      <c r="C26" s="3" t="s">
        <v>887</v>
      </c>
      <c r="D26" s="5" t="s">
        <v>11</v>
      </c>
      <c r="E26" s="3" t="s">
        <v>437</v>
      </c>
      <c r="F26" s="7" t="s">
        <v>373</v>
      </c>
      <c r="G26" s="3" t="s">
        <v>28</v>
      </c>
      <c r="H26" s="3" t="s">
        <v>24</v>
      </c>
      <c r="I26" s="3" t="s">
        <v>32</v>
      </c>
      <c r="J26" s="2" t="s">
        <v>868</v>
      </c>
      <c r="K26" s="2" t="s">
        <v>10</v>
      </c>
      <c r="L26" s="2" t="s">
        <v>18</v>
      </c>
      <c r="M26" s="2" t="str">
        <f t="shared" si="0"/>
        <v>C0603</v>
      </c>
      <c r="O26" s="2" t="str">
        <f t="shared" si="1"/>
        <v>C0603_RF</v>
      </c>
      <c r="P26" s="2" t="str">
        <f t="shared" si="4"/>
        <v>C-0603-X5R-6.3-47uF M</v>
      </c>
      <c r="Q26" s="2" t="str">
        <f t="shared" si="3"/>
        <v>C-0603-X5R-6.3-47uF M</v>
      </c>
    </row>
    <row r="27" spans="1:17" s="2" customFormat="1" ht="20.100000000000001" customHeight="1" x14ac:dyDescent="0.25">
      <c r="A27" s="2" t="s">
        <v>180</v>
      </c>
      <c r="B27" s="2" t="s">
        <v>181</v>
      </c>
      <c r="C27" s="3" t="s">
        <v>186</v>
      </c>
      <c r="D27" s="2" t="s">
        <v>182</v>
      </c>
      <c r="E27" s="2" t="s">
        <v>216</v>
      </c>
      <c r="F27" s="3">
        <v>35</v>
      </c>
      <c r="H27" s="3" t="s">
        <v>24</v>
      </c>
      <c r="I27" s="2" t="s">
        <v>183</v>
      </c>
      <c r="J27" s="2" t="s">
        <v>868</v>
      </c>
      <c r="K27" s="2" t="s">
        <v>86</v>
      </c>
      <c r="L27" s="2" t="s">
        <v>18</v>
      </c>
      <c r="M27" s="2" t="str">
        <f t="shared" si="0"/>
        <v>C6.3x7.7</v>
      </c>
      <c r="N27" s="2" t="s">
        <v>18</v>
      </c>
      <c r="O27" s="2" t="str">
        <f t="shared" si="1"/>
        <v>C6.3x7.7_RF</v>
      </c>
      <c r="P27" s="3" t="s">
        <v>218</v>
      </c>
      <c r="Q27" s="2" t="str">
        <f t="shared" si="3"/>
        <v>C-UUD1V680MCL1GS</v>
      </c>
    </row>
    <row r="28" spans="1:17" s="2" customFormat="1" ht="20.100000000000001" customHeight="1" x14ac:dyDescent="0.25">
      <c r="A28" s="2" t="s">
        <v>163</v>
      </c>
      <c r="B28" s="2" t="s">
        <v>164</v>
      </c>
      <c r="C28" s="3" t="s">
        <v>887</v>
      </c>
      <c r="D28" s="5" t="s">
        <v>9</v>
      </c>
      <c r="E28" s="3" t="s">
        <v>215</v>
      </c>
      <c r="F28" s="2">
        <v>50</v>
      </c>
      <c r="G28" s="3" t="s">
        <v>27</v>
      </c>
      <c r="H28" s="3" t="s">
        <v>23</v>
      </c>
      <c r="I28" s="3" t="s">
        <v>32</v>
      </c>
      <c r="J28" s="2" t="s">
        <v>868</v>
      </c>
      <c r="K28" s="2" t="s">
        <v>10</v>
      </c>
      <c r="L28" s="2" t="s">
        <v>18</v>
      </c>
      <c r="M28" s="2" t="str">
        <f t="shared" si="0"/>
        <v>C0402</v>
      </c>
      <c r="N28" s="2" t="s">
        <v>18</v>
      </c>
      <c r="O28" s="2" t="str">
        <f t="shared" si="1"/>
        <v>C0402_RF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3"/>
        <v>C-0402-X7R-50-8200pF K</v>
      </c>
    </row>
    <row r="29" spans="1:17" s="2" customFormat="1" ht="20.100000000000001" customHeight="1" x14ac:dyDescent="0.25">
      <c r="A29" s="2" t="s">
        <v>514</v>
      </c>
      <c r="B29" s="2" t="s">
        <v>515</v>
      </c>
      <c r="C29" s="3" t="s">
        <v>887</v>
      </c>
      <c r="D29" s="2">
        <v>1206</v>
      </c>
      <c r="E29" s="3" t="s">
        <v>516</v>
      </c>
      <c r="F29" s="7" t="s">
        <v>373</v>
      </c>
      <c r="G29" s="3" t="s">
        <v>28</v>
      </c>
      <c r="H29" s="3" t="s">
        <v>23</v>
      </c>
      <c r="I29" s="3" t="s">
        <v>32</v>
      </c>
      <c r="J29" s="2" t="s">
        <v>868</v>
      </c>
      <c r="K29" s="2" t="s">
        <v>10</v>
      </c>
      <c r="L29" s="2" t="s">
        <v>18</v>
      </c>
      <c r="M29" s="2" t="str">
        <f t="shared" si="0"/>
        <v>C1206</v>
      </c>
      <c r="O29" s="2" t="str">
        <f t="shared" si="1"/>
        <v>C1206_RF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si="3"/>
        <v>C-1206-X5R-6.3-100uF K</v>
      </c>
    </row>
    <row r="30" spans="1:17" s="2" customFormat="1" ht="20.100000000000001" customHeight="1" x14ac:dyDescent="0.25">
      <c r="A30" s="2" t="s">
        <v>517</v>
      </c>
      <c r="B30" s="2" t="s">
        <v>518</v>
      </c>
      <c r="C30" s="3" t="s">
        <v>887</v>
      </c>
      <c r="D30" s="2">
        <v>1210</v>
      </c>
      <c r="E30" s="3" t="s">
        <v>407</v>
      </c>
      <c r="F30" s="2">
        <v>25</v>
      </c>
      <c r="G30" s="3" t="s">
        <v>27</v>
      </c>
      <c r="H30" s="3" t="s">
        <v>23</v>
      </c>
      <c r="I30" s="3" t="s">
        <v>32</v>
      </c>
      <c r="J30" s="2" t="s">
        <v>868</v>
      </c>
      <c r="K30" s="2" t="s">
        <v>10</v>
      </c>
      <c r="L30" s="2" t="s">
        <v>18</v>
      </c>
      <c r="M30" s="2" t="str">
        <f t="shared" si="0"/>
        <v>C1210</v>
      </c>
      <c r="O30" s="2" t="str">
        <f t="shared" si="1"/>
        <v>C1210_RF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537</v>
      </c>
      <c r="B31" s="2" t="s">
        <v>538</v>
      </c>
      <c r="C31" s="3" t="s">
        <v>887</v>
      </c>
      <c r="D31" s="5" t="s">
        <v>9</v>
      </c>
      <c r="E31" s="3" t="s">
        <v>539</v>
      </c>
      <c r="F31" s="2">
        <v>50</v>
      </c>
      <c r="G31" s="3" t="s">
        <v>26</v>
      </c>
      <c r="H31" s="3" t="s">
        <v>482</v>
      </c>
      <c r="I31" s="3" t="s">
        <v>32</v>
      </c>
      <c r="J31" s="2" t="s">
        <v>868</v>
      </c>
      <c r="K31" s="2" t="s">
        <v>10</v>
      </c>
      <c r="L31" s="2" t="s">
        <v>18</v>
      </c>
      <c r="M31" s="2" t="str">
        <f t="shared" si="0"/>
        <v>C0402</v>
      </c>
      <c r="N31" s="2" t="s">
        <v>18</v>
      </c>
      <c r="O31" s="2" t="str">
        <f t="shared" si="1"/>
        <v>C0402_RF</v>
      </c>
      <c r="P31" s="2" t="s">
        <v>841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669</v>
      </c>
      <c r="B32" s="2" t="s">
        <v>670</v>
      </c>
      <c r="C32" s="3" t="s">
        <v>887</v>
      </c>
      <c r="D32" s="5" t="s">
        <v>9</v>
      </c>
      <c r="E32" s="3" t="s">
        <v>84</v>
      </c>
      <c r="F32" s="2">
        <v>10</v>
      </c>
      <c r="G32" s="3" t="s">
        <v>28</v>
      </c>
      <c r="H32" s="3" t="s">
        <v>24</v>
      </c>
      <c r="I32" s="3" t="s">
        <v>32</v>
      </c>
      <c r="J32" s="2" t="s">
        <v>868</v>
      </c>
      <c r="K32" s="2" t="s">
        <v>10</v>
      </c>
      <c r="L32" s="2" t="s">
        <v>18</v>
      </c>
      <c r="M32" s="2" t="str">
        <f t="shared" si="0"/>
        <v>C0402</v>
      </c>
      <c r="N32" s="2" t="s">
        <v>18</v>
      </c>
      <c r="O32" s="2" t="str">
        <f t="shared" si="1"/>
        <v>C0402_RF</v>
      </c>
      <c r="P32" s="2" t="str">
        <f t="shared" ref="P32:P41" si="5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703</v>
      </c>
      <c r="B33" s="2" t="s">
        <v>704</v>
      </c>
      <c r="C33" s="3" t="s">
        <v>887</v>
      </c>
      <c r="D33" s="5" t="s">
        <v>25</v>
      </c>
      <c r="E33" s="3" t="s">
        <v>160</v>
      </c>
      <c r="F33" s="2">
        <v>25</v>
      </c>
      <c r="G33" s="3" t="s">
        <v>28</v>
      </c>
      <c r="H33" s="3" t="s">
        <v>23</v>
      </c>
      <c r="I33" s="3" t="s">
        <v>32</v>
      </c>
      <c r="J33" s="2" t="s">
        <v>868</v>
      </c>
      <c r="K33" s="2" t="s">
        <v>10</v>
      </c>
      <c r="L33" s="2" t="s">
        <v>18</v>
      </c>
      <c r="M33" s="2" t="str">
        <f t="shared" si="0"/>
        <v>C0201</v>
      </c>
      <c r="N33" s="2" t="s">
        <v>18</v>
      </c>
      <c r="O33" s="2" t="str">
        <f t="shared" si="1"/>
        <v>C0201_RF</v>
      </c>
      <c r="P33" s="2" t="str">
        <f t="shared" si="5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826</v>
      </c>
      <c r="B34" s="2" t="s">
        <v>827</v>
      </c>
      <c r="C34" s="3" t="s">
        <v>887</v>
      </c>
      <c r="D34" s="5" t="s">
        <v>9</v>
      </c>
      <c r="E34" s="3" t="s">
        <v>828</v>
      </c>
      <c r="F34" s="2">
        <v>16</v>
      </c>
      <c r="G34" s="3" t="s">
        <v>27</v>
      </c>
      <c r="H34" s="3" t="s">
        <v>23</v>
      </c>
      <c r="I34" s="3" t="s">
        <v>32</v>
      </c>
      <c r="J34" s="2" t="s">
        <v>868</v>
      </c>
      <c r="K34" s="2" t="s">
        <v>10</v>
      </c>
      <c r="L34" s="2" t="s">
        <v>18</v>
      </c>
      <c r="M34" s="2" t="str">
        <f t="shared" si="0"/>
        <v>C0402</v>
      </c>
      <c r="N34" s="2" t="s">
        <v>18</v>
      </c>
      <c r="O34" s="2" t="str">
        <f t="shared" si="1"/>
        <v>C0402_RF</v>
      </c>
      <c r="P34" s="2" t="str">
        <f t="shared" si="5"/>
        <v>C-0402-X7R-16-0.022uF K</v>
      </c>
      <c r="Q34" s="2" t="str">
        <f t="shared" si="3"/>
        <v>C-0402-X7R-16-0.022uF K</v>
      </c>
    </row>
    <row r="35" spans="1:17" x14ac:dyDescent="0.25">
      <c r="A35" s="2" t="s">
        <v>1095</v>
      </c>
      <c r="B35" t="s">
        <v>1096</v>
      </c>
      <c r="C35" s="3" t="s">
        <v>887</v>
      </c>
      <c r="D35" s="5" t="s">
        <v>25</v>
      </c>
      <c r="E35" s="3" t="s">
        <v>308</v>
      </c>
      <c r="F35" s="2">
        <v>10</v>
      </c>
      <c r="G35" s="3" t="s">
        <v>28</v>
      </c>
      <c r="H35" s="3" t="s">
        <v>24</v>
      </c>
      <c r="I35" s="3" t="s">
        <v>32</v>
      </c>
      <c r="J35" s="2" t="s">
        <v>868</v>
      </c>
      <c r="K35" s="2" t="s">
        <v>10</v>
      </c>
      <c r="L35" s="2" t="s">
        <v>18</v>
      </c>
      <c r="M35" s="2" t="str">
        <f t="shared" si="0"/>
        <v>C0201</v>
      </c>
      <c r="N35" s="2" t="s">
        <v>18</v>
      </c>
      <c r="O35" s="2" t="str">
        <f t="shared" si="1"/>
        <v>C0201_RF</v>
      </c>
      <c r="P35" s="2" t="str">
        <f t="shared" si="5"/>
        <v>C-0201-X5R-10-1uF M</v>
      </c>
      <c r="Q35" s="2" t="str">
        <f t="shared" si="3"/>
        <v>C-0201-X5R-10-1uF M</v>
      </c>
    </row>
    <row r="36" spans="1:17" x14ac:dyDescent="0.25">
      <c r="A36" s="8" t="s">
        <v>1097</v>
      </c>
      <c r="B36" t="s">
        <v>1106</v>
      </c>
      <c r="C36" s="3" t="s">
        <v>887</v>
      </c>
      <c r="D36" s="5" t="s">
        <v>25</v>
      </c>
      <c r="E36" s="17" t="s">
        <v>1098</v>
      </c>
      <c r="F36" s="7" t="s">
        <v>373</v>
      </c>
      <c r="G36" s="3" t="s">
        <v>28</v>
      </c>
      <c r="H36" s="3" t="s">
        <v>24</v>
      </c>
      <c r="I36" s="3" t="s">
        <v>32</v>
      </c>
      <c r="J36" s="2" t="s">
        <v>868</v>
      </c>
      <c r="K36" s="2" t="s">
        <v>10</v>
      </c>
      <c r="L36" s="2" t="s">
        <v>18</v>
      </c>
      <c r="M36" s="2" t="str">
        <f t="shared" si="0"/>
        <v>C0201</v>
      </c>
      <c r="N36" s="2" t="s">
        <v>18</v>
      </c>
      <c r="O36" s="2" t="str">
        <f t="shared" si="1"/>
        <v>C0201_RF</v>
      </c>
      <c r="P36" s="2" t="str">
        <f t="shared" si="5"/>
        <v>C-0201-X5R-6.3-4.7uF M</v>
      </c>
      <c r="Q36" s="2" t="str">
        <f t="shared" si="3"/>
        <v>C-0201-X5R-6.3-4.7uF M</v>
      </c>
    </row>
    <row r="37" spans="1:17" x14ac:dyDescent="0.25">
      <c r="A37" s="8" t="s">
        <v>1104</v>
      </c>
      <c r="B37" t="s">
        <v>1105</v>
      </c>
      <c r="C37" s="3" t="s">
        <v>887</v>
      </c>
      <c r="D37" s="5" t="s">
        <v>9</v>
      </c>
      <c r="E37" s="17" t="s">
        <v>1098</v>
      </c>
      <c r="F37" s="2">
        <v>10</v>
      </c>
      <c r="G37" s="3" t="s">
        <v>28</v>
      </c>
      <c r="H37" s="3" t="s">
        <v>24</v>
      </c>
      <c r="I37" s="3" t="s">
        <v>32</v>
      </c>
      <c r="J37" s="2" t="s">
        <v>868</v>
      </c>
      <c r="K37" s="2" t="s">
        <v>10</v>
      </c>
      <c r="L37" s="2" t="s">
        <v>18</v>
      </c>
      <c r="M37" s="2" t="str">
        <f t="shared" si="0"/>
        <v>C0402</v>
      </c>
      <c r="N37" s="2" t="s">
        <v>18</v>
      </c>
      <c r="O37" s="2" t="str">
        <f t="shared" si="1"/>
        <v>C0402_RF</v>
      </c>
      <c r="P37" s="2" t="str">
        <f t="shared" si="5"/>
        <v>C-0402-X5R-10-4.7uF M</v>
      </c>
      <c r="Q37" s="2" t="str">
        <f t="shared" si="3"/>
        <v>C-0402-X5R-10-4.7uF M</v>
      </c>
    </row>
    <row r="38" spans="1:17" s="2" customFormat="1" x14ac:dyDescent="0.25">
      <c r="A38" s="2" t="s">
        <v>1201</v>
      </c>
      <c r="B38" s="2" t="s">
        <v>1202</v>
      </c>
      <c r="C38" s="2" t="s">
        <v>1203</v>
      </c>
      <c r="D38" s="5" t="s">
        <v>11</v>
      </c>
      <c r="E38" s="3" t="s">
        <v>312</v>
      </c>
      <c r="F38" s="2">
        <v>50</v>
      </c>
      <c r="G38" s="3" t="s">
        <v>26</v>
      </c>
      <c r="H38" s="3" t="s">
        <v>22</v>
      </c>
      <c r="I38" s="3" t="s">
        <v>32</v>
      </c>
      <c r="J38" s="2" t="s">
        <v>868</v>
      </c>
      <c r="K38" s="2" t="s">
        <v>10</v>
      </c>
      <c r="L38" s="2" t="s">
        <v>18</v>
      </c>
      <c r="M38" s="2" t="str">
        <f t="shared" si="0"/>
        <v>C0603</v>
      </c>
      <c r="N38" s="2" t="s">
        <v>18</v>
      </c>
      <c r="O38" s="2" t="str">
        <f t="shared" si="1"/>
        <v>C0603_RF</v>
      </c>
      <c r="P38" s="2" t="str">
        <f t="shared" si="5"/>
        <v>C-0603-NP0-50-1800pF J</v>
      </c>
      <c r="Q38" s="2" t="str">
        <f t="shared" si="3"/>
        <v>C-0603-NP0-50-1800pF J</v>
      </c>
    </row>
    <row r="39" spans="1:17" x14ac:dyDescent="0.25">
      <c r="A39" s="2" t="s">
        <v>1204</v>
      </c>
      <c r="B39" s="2" t="s">
        <v>1205</v>
      </c>
      <c r="C39" s="3" t="s">
        <v>83</v>
      </c>
      <c r="D39" s="5" t="s">
        <v>11</v>
      </c>
      <c r="E39" s="3" t="s">
        <v>1206</v>
      </c>
      <c r="F39" s="2">
        <v>25</v>
      </c>
      <c r="G39" s="3" t="s">
        <v>26</v>
      </c>
      <c r="H39" s="3" t="s">
        <v>22</v>
      </c>
      <c r="I39" s="3" t="s">
        <v>32</v>
      </c>
      <c r="J39" s="2" t="s">
        <v>868</v>
      </c>
      <c r="K39" s="2" t="s">
        <v>10</v>
      </c>
      <c r="L39" s="2" t="s">
        <v>18</v>
      </c>
      <c r="M39" s="2" t="str">
        <f t="shared" si="0"/>
        <v>C0603</v>
      </c>
      <c r="N39" s="2" t="s">
        <v>18</v>
      </c>
      <c r="O39" s="2" t="str">
        <f t="shared" si="1"/>
        <v>C0603_RF</v>
      </c>
      <c r="P39" s="2" t="str">
        <f t="shared" si="5"/>
        <v>C-0603-NP0-25-0.012uF J</v>
      </c>
      <c r="Q39" s="2" t="str">
        <f t="shared" si="3"/>
        <v>C-0603-NP0-25-0.012uF J</v>
      </c>
    </row>
    <row r="40" spans="1:17" s="2" customFormat="1" x14ac:dyDescent="0.25">
      <c r="A40" s="2" t="s">
        <v>1207</v>
      </c>
      <c r="B40" s="2" t="s">
        <v>1208</v>
      </c>
      <c r="C40" s="3" t="s">
        <v>887</v>
      </c>
      <c r="D40" s="2">
        <v>1206</v>
      </c>
      <c r="E40" s="2" t="s">
        <v>1209</v>
      </c>
      <c r="F40" s="2">
        <v>25</v>
      </c>
      <c r="G40" s="3" t="s">
        <v>26</v>
      </c>
      <c r="H40" s="3" t="s">
        <v>22</v>
      </c>
      <c r="I40" s="3" t="s">
        <v>32</v>
      </c>
      <c r="J40" s="2" t="s">
        <v>868</v>
      </c>
      <c r="K40" s="2" t="s">
        <v>10</v>
      </c>
      <c r="L40" s="2" t="s">
        <v>18</v>
      </c>
      <c r="M40" s="2" t="str">
        <f t="shared" si="0"/>
        <v>C1206</v>
      </c>
      <c r="N40" s="2" t="s">
        <v>18</v>
      </c>
      <c r="O40" s="2" t="str">
        <f t="shared" si="1"/>
        <v>C1206_RF</v>
      </c>
      <c r="P40" s="2" t="str">
        <f t="shared" si="5"/>
        <v>C-1206-NP0-25-0.33uF J</v>
      </c>
      <c r="Q40" s="2" t="str">
        <f t="shared" si="3"/>
        <v>C-1206-NP0-25-0.33uF J</v>
      </c>
    </row>
    <row r="41" spans="1:17" s="2" customFormat="1" ht="20.100000000000001" customHeight="1" x14ac:dyDescent="0.25">
      <c r="A41" s="2" t="s">
        <v>1219</v>
      </c>
      <c r="B41" s="2" t="s">
        <v>1220</v>
      </c>
      <c r="C41" s="3" t="s">
        <v>887</v>
      </c>
      <c r="D41" s="5" t="s">
        <v>9</v>
      </c>
      <c r="E41" s="3" t="s">
        <v>1221</v>
      </c>
      <c r="F41" s="2">
        <v>50</v>
      </c>
      <c r="G41" s="3" t="s">
        <v>26</v>
      </c>
      <c r="H41" s="3" t="s">
        <v>22</v>
      </c>
      <c r="I41" s="3" t="s">
        <v>32</v>
      </c>
      <c r="J41" s="2" t="s">
        <v>868</v>
      </c>
      <c r="K41" s="2" t="s">
        <v>10</v>
      </c>
      <c r="L41" s="2" t="s">
        <v>18</v>
      </c>
      <c r="M41" s="2" t="str">
        <f t="shared" si="0"/>
        <v>C0402</v>
      </c>
      <c r="N41" s="2" t="s">
        <v>18</v>
      </c>
      <c r="O41" s="2" t="str">
        <f t="shared" si="1"/>
        <v>C0402_RF</v>
      </c>
      <c r="P41" s="2" t="str">
        <f t="shared" si="5"/>
        <v>C-0402-NP0-50-130pF J</v>
      </c>
      <c r="Q41" s="2" t="str">
        <f t="shared" si="3"/>
        <v>C-0402-NP0-50-130pF J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9"/>
  <sheetViews>
    <sheetView workbookViewId="0">
      <selection activeCell="B17" sqref="B17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9.5" customWidth="1"/>
    <col min="5" max="5" width="13.25" customWidth="1"/>
    <col min="6" max="6" width="11.125" customWidth="1"/>
    <col min="7" max="7" width="15.875" customWidth="1"/>
    <col min="8" max="8" width="10.75" customWidth="1"/>
    <col min="9" max="9" width="8.875" customWidth="1"/>
    <col min="10" max="10" width="16.375" customWidth="1"/>
    <col min="11" max="11" width="7.5" bestFit="1" customWidth="1"/>
    <col min="12" max="12" width="24.875" bestFit="1" customWidth="1"/>
    <col min="13" max="13" width="12.5" customWidth="1"/>
    <col min="14" max="14" width="15.625" customWidth="1"/>
    <col min="15" max="15" width="20.375" customWidth="1"/>
    <col min="16" max="16" width="17.75" customWidth="1"/>
    <col min="17" max="17" width="14.75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36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895</v>
      </c>
      <c r="J1" s="2" t="s">
        <v>896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31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51</v>
      </c>
      <c r="B2" s="36" t="s">
        <v>54</v>
      </c>
      <c r="C2" s="2" t="s">
        <v>52</v>
      </c>
      <c r="D2" s="5" t="s">
        <v>9</v>
      </c>
      <c r="E2" s="2" t="s">
        <v>53</v>
      </c>
      <c r="F2" s="2">
        <v>16</v>
      </c>
      <c r="G2" s="2" t="s">
        <v>27</v>
      </c>
      <c r="H2" s="2" t="s">
        <v>23</v>
      </c>
      <c r="J2" t="s">
        <v>897</v>
      </c>
      <c r="K2" s="2" t="s">
        <v>32</v>
      </c>
      <c r="L2" s="2" t="s">
        <v>868</v>
      </c>
      <c r="M2" s="2" t="s">
        <v>10</v>
      </c>
      <c r="N2" s="2" t="s">
        <v>18</v>
      </c>
      <c r="O2" s="5" t="str">
        <f>_xlfn.CONCAT("C",D2)</f>
        <v>C0402</v>
      </c>
      <c r="P2" s="2" t="s">
        <v>18</v>
      </c>
      <c r="Q2" s="2" t="str">
        <f>_xlfn.CONCAT(O2,"_RF")</f>
        <v>C0402_RF</v>
      </c>
      <c r="R2" s="2" t="s">
        <v>840</v>
      </c>
      <c r="S2" s="2" t="str">
        <f>R2</f>
        <v>C-0402-520L103KT16T</v>
      </c>
    </row>
    <row r="3" spans="1:19" s="2" customFormat="1" ht="20.100000000000001" customHeight="1" x14ac:dyDescent="0.25">
      <c r="A3" s="3" t="s">
        <v>227</v>
      </c>
      <c r="B3" s="36" t="s">
        <v>228</v>
      </c>
      <c r="C3" s="3" t="s">
        <v>887</v>
      </c>
      <c r="D3" s="5" t="s">
        <v>9</v>
      </c>
      <c r="E3" s="3" t="s">
        <v>229</v>
      </c>
      <c r="F3" s="2">
        <v>50</v>
      </c>
      <c r="G3" s="3" t="s">
        <v>26</v>
      </c>
      <c r="H3" s="3" t="s">
        <v>939</v>
      </c>
      <c r="I3" s="3"/>
      <c r="J3" t="s">
        <v>897</v>
      </c>
      <c r="K3" s="3" t="s">
        <v>32</v>
      </c>
      <c r="L3" s="2" t="s">
        <v>868</v>
      </c>
      <c r="M3" s="2" t="s">
        <v>10</v>
      </c>
      <c r="N3" s="2" t="s">
        <v>18</v>
      </c>
      <c r="O3" s="5" t="str">
        <f t="shared" ref="O3:O18" si="0">_xlfn.CONCAT("C",D3)</f>
        <v>C0402</v>
      </c>
      <c r="P3" s="2" t="s">
        <v>18</v>
      </c>
      <c r="Q3" s="2" t="str">
        <f t="shared" ref="Q3:Q18" si="1">_xlfn.CONCAT(O3,"_RF")</f>
        <v>C0402_RF</v>
      </c>
      <c r="R3" s="2" t="str">
        <f t="shared" ref="R3:R17" si="2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3">R3</f>
        <v>C-0402-NP0-50-0.15pF A</v>
      </c>
    </row>
    <row r="4" spans="1:19" s="2" customFormat="1" ht="20.100000000000001" customHeight="1" x14ac:dyDescent="0.25">
      <c r="A4" s="2" t="s">
        <v>479</v>
      </c>
      <c r="B4" s="36" t="s">
        <v>480</v>
      </c>
      <c r="C4" s="3" t="s">
        <v>887</v>
      </c>
      <c r="D4" s="5" t="s">
        <v>9</v>
      </c>
      <c r="E4" s="3" t="s">
        <v>481</v>
      </c>
      <c r="F4" s="2">
        <v>50</v>
      </c>
      <c r="G4" s="3" t="s">
        <v>26</v>
      </c>
      <c r="H4" s="3" t="s">
        <v>938</v>
      </c>
      <c r="I4" s="3"/>
      <c r="J4" t="s">
        <v>897</v>
      </c>
      <c r="K4" s="3" t="s">
        <v>32</v>
      </c>
      <c r="L4" s="2" t="s">
        <v>868</v>
      </c>
      <c r="M4" s="2" t="s">
        <v>10</v>
      </c>
      <c r="N4" s="2" t="s">
        <v>18</v>
      </c>
      <c r="O4" s="5" t="str">
        <f t="shared" si="0"/>
        <v>C0402</v>
      </c>
      <c r="P4" s="2" t="s">
        <v>18</v>
      </c>
      <c r="Q4" s="2" t="str">
        <f t="shared" si="1"/>
        <v>C0402_RF</v>
      </c>
      <c r="R4" s="2" t="str">
        <f t="shared" si="2"/>
        <v>C-0402-NP0-50-6pF B</v>
      </c>
      <c r="S4" s="2" t="str">
        <f t="shared" si="3"/>
        <v>C-0402-NP0-50-6pF B</v>
      </c>
    </row>
    <row r="5" spans="1:19" s="2" customFormat="1" ht="20.100000000000001" customHeight="1" x14ac:dyDescent="0.25">
      <c r="A5" s="2" t="s">
        <v>537</v>
      </c>
      <c r="B5" s="36" t="s">
        <v>538</v>
      </c>
      <c r="C5" s="3" t="s">
        <v>887</v>
      </c>
      <c r="D5" s="5" t="s">
        <v>9</v>
      </c>
      <c r="E5" s="3" t="s">
        <v>539</v>
      </c>
      <c r="F5" s="2">
        <v>50</v>
      </c>
      <c r="G5" s="3" t="s">
        <v>26</v>
      </c>
      <c r="H5" s="3" t="s">
        <v>938</v>
      </c>
      <c r="I5" s="3"/>
      <c r="J5" t="s">
        <v>897</v>
      </c>
      <c r="K5" s="3" t="s">
        <v>32</v>
      </c>
      <c r="L5" s="2" t="s">
        <v>868</v>
      </c>
      <c r="M5" s="2" t="s">
        <v>10</v>
      </c>
      <c r="N5" s="2" t="s">
        <v>18</v>
      </c>
      <c r="O5" s="5" t="str">
        <f t="shared" si="0"/>
        <v>C0402</v>
      </c>
      <c r="P5" s="2" t="s">
        <v>18</v>
      </c>
      <c r="Q5" s="2" t="str">
        <f t="shared" si="1"/>
        <v>C0402_RF</v>
      </c>
      <c r="R5" s="2" t="str">
        <f t="shared" si="2"/>
        <v>C-0402-NP0-50-4.7pF B</v>
      </c>
      <c r="S5" s="2" t="str">
        <f t="shared" si="3"/>
        <v>C-0402-NP0-50-4.7pF B</v>
      </c>
    </row>
    <row r="6" spans="1:19" s="2" customFormat="1" ht="20.100000000000001" customHeight="1" x14ac:dyDescent="0.25">
      <c r="A6" s="2" t="s">
        <v>864</v>
      </c>
      <c r="B6" s="37" t="s">
        <v>865</v>
      </c>
      <c r="C6" s="2" t="s">
        <v>52</v>
      </c>
      <c r="D6" s="5" t="s">
        <v>9</v>
      </c>
      <c r="E6" s="3" t="s">
        <v>160</v>
      </c>
      <c r="F6" s="2">
        <v>16</v>
      </c>
      <c r="G6" s="9" t="s">
        <v>28</v>
      </c>
      <c r="H6" s="3" t="s">
        <v>23</v>
      </c>
      <c r="I6" s="3"/>
      <c r="J6" t="s">
        <v>897</v>
      </c>
      <c r="K6" s="3" t="s">
        <v>32</v>
      </c>
      <c r="L6" s="2" t="s">
        <v>868</v>
      </c>
      <c r="M6" s="2" t="s">
        <v>10</v>
      </c>
      <c r="N6" s="2" t="s">
        <v>18</v>
      </c>
      <c r="O6" s="5" t="str">
        <f t="shared" si="0"/>
        <v>C0402</v>
      </c>
      <c r="P6" s="2" t="s">
        <v>18</v>
      </c>
      <c r="Q6" s="2" t="str">
        <f t="shared" si="1"/>
        <v>C0402_RF</v>
      </c>
      <c r="R6" s="2" t="s">
        <v>940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65</v>
      </c>
      <c r="B7" s="36" t="s">
        <v>66</v>
      </c>
      <c r="C7" s="3" t="s">
        <v>887</v>
      </c>
      <c r="D7" s="2" t="s">
        <v>9</v>
      </c>
      <c r="E7" s="3" t="s">
        <v>53</v>
      </c>
      <c r="F7" s="2">
        <v>50</v>
      </c>
      <c r="G7" s="3" t="s">
        <v>26</v>
      </c>
      <c r="H7" s="3" t="s">
        <v>22</v>
      </c>
      <c r="I7" s="3"/>
      <c r="J7" t="s">
        <v>897</v>
      </c>
      <c r="K7" s="3" t="s">
        <v>32</v>
      </c>
      <c r="L7" s="2" t="s">
        <v>868</v>
      </c>
      <c r="M7" s="2" t="s">
        <v>10</v>
      </c>
      <c r="N7" s="2" t="s">
        <v>18</v>
      </c>
      <c r="O7" s="5" t="str">
        <f t="shared" si="0"/>
        <v>C0402</v>
      </c>
      <c r="P7" s="2" t="s">
        <v>18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227</v>
      </c>
      <c r="B8" s="36" t="s">
        <v>1276</v>
      </c>
      <c r="C8" s="3" t="s">
        <v>887</v>
      </c>
      <c r="D8" s="5" t="s">
        <v>9</v>
      </c>
      <c r="E8" s="3" t="s">
        <v>229</v>
      </c>
      <c r="F8" s="2">
        <v>50</v>
      </c>
      <c r="G8" s="3" t="s">
        <v>26</v>
      </c>
      <c r="H8" s="3" t="s">
        <v>939</v>
      </c>
      <c r="I8" s="3"/>
      <c r="J8" t="s">
        <v>897</v>
      </c>
      <c r="K8" s="3" t="s">
        <v>32</v>
      </c>
      <c r="L8" s="2" t="s">
        <v>868</v>
      </c>
      <c r="M8" s="2" t="s">
        <v>10</v>
      </c>
      <c r="N8" s="2" t="s">
        <v>18</v>
      </c>
      <c r="O8" s="5" t="str">
        <f t="shared" si="0"/>
        <v>C0402</v>
      </c>
      <c r="P8" s="2" t="s">
        <v>18</v>
      </c>
      <c r="Q8" s="2" t="str">
        <f t="shared" si="1"/>
        <v>C0402_RF</v>
      </c>
      <c r="R8" s="2" t="str">
        <f t="shared" si="2"/>
        <v>C-0402-NP0-50-0.15pF A</v>
      </c>
      <c r="S8" s="2" t="str">
        <f t="shared" si="3"/>
        <v>C-0402-NP0-50-0.15pF A</v>
      </c>
    </row>
    <row r="9" spans="1:19" s="2" customFormat="1" ht="20.100000000000001" customHeight="1" x14ac:dyDescent="0.25">
      <c r="A9" s="2" t="s">
        <v>55</v>
      </c>
      <c r="B9" s="36" t="s">
        <v>56</v>
      </c>
      <c r="C9" s="3" t="s">
        <v>887</v>
      </c>
      <c r="D9" s="2" t="s">
        <v>9</v>
      </c>
      <c r="E9" s="3" t="s">
        <v>57</v>
      </c>
      <c r="F9" s="3">
        <v>50</v>
      </c>
      <c r="G9" s="3" t="s">
        <v>26</v>
      </c>
      <c r="H9" s="3" t="s">
        <v>22</v>
      </c>
      <c r="I9" s="3"/>
      <c r="J9" t="s">
        <v>897</v>
      </c>
      <c r="K9" s="4" t="s">
        <v>32</v>
      </c>
      <c r="L9" s="2" t="s">
        <v>868</v>
      </c>
      <c r="M9" s="2" t="s">
        <v>10</v>
      </c>
      <c r="N9" s="2" t="s">
        <v>18</v>
      </c>
      <c r="O9" s="5" t="str">
        <f t="shared" si="0"/>
        <v>C0402</v>
      </c>
      <c r="P9" s="2" t="s">
        <v>18</v>
      </c>
      <c r="Q9" s="2" t="str">
        <f t="shared" si="1"/>
        <v>C0402_RF</v>
      </c>
      <c r="R9" s="2" t="str">
        <f t="shared" si="2"/>
        <v>C-0402-NP0-50-1000pF J</v>
      </c>
      <c r="S9" s="2" t="str">
        <f t="shared" si="3"/>
        <v>C-0402-NP0-50-1000pF J</v>
      </c>
    </row>
    <row r="10" spans="1:19" s="2" customFormat="1" ht="20.100000000000001" customHeight="1" x14ac:dyDescent="0.25">
      <c r="A10" s="2" t="s">
        <v>68</v>
      </c>
      <c r="B10" s="36" t="s">
        <v>1275</v>
      </c>
      <c r="C10" s="3" t="s">
        <v>887</v>
      </c>
      <c r="D10" s="5" t="s">
        <v>9</v>
      </c>
      <c r="E10" s="2" t="s">
        <v>69</v>
      </c>
      <c r="F10" s="2">
        <v>50</v>
      </c>
      <c r="G10" s="3" t="s">
        <v>26</v>
      </c>
      <c r="H10" s="3" t="s">
        <v>21</v>
      </c>
      <c r="I10" s="3"/>
      <c r="J10" t="s">
        <v>897</v>
      </c>
      <c r="K10" s="3" t="s">
        <v>32</v>
      </c>
      <c r="L10" s="2" t="s">
        <v>868</v>
      </c>
      <c r="M10" s="2" t="s">
        <v>10</v>
      </c>
      <c r="N10" s="2" t="s">
        <v>18</v>
      </c>
      <c r="O10" s="5" t="str">
        <f t="shared" si="0"/>
        <v>C0402</v>
      </c>
      <c r="P10" s="2" t="s">
        <v>18</v>
      </c>
      <c r="Q10" s="2" t="str">
        <f t="shared" si="1"/>
        <v>C0402_RF</v>
      </c>
      <c r="R10" s="2" t="str">
        <f t="shared" si="2"/>
        <v>C-0402-NP0-50-100pF G</v>
      </c>
      <c r="S10" s="2" t="str">
        <f t="shared" si="3"/>
        <v>C-0402-NP0-50-100pF G</v>
      </c>
    </row>
    <row r="11" spans="1:19" s="2" customFormat="1" ht="20.100000000000001" customHeight="1" x14ac:dyDescent="0.25">
      <c r="A11" s="2" t="s">
        <v>165</v>
      </c>
      <c r="B11" s="36" t="s">
        <v>1274</v>
      </c>
      <c r="C11" s="3" t="s">
        <v>887</v>
      </c>
      <c r="D11" s="5" t="s">
        <v>9</v>
      </c>
      <c r="E11" s="3" t="s">
        <v>167</v>
      </c>
      <c r="F11" s="2">
        <v>50</v>
      </c>
      <c r="G11" s="3" t="s">
        <v>26</v>
      </c>
      <c r="H11" s="3" t="s">
        <v>22</v>
      </c>
      <c r="I11" s="3"/>
      <c r="J11" t="s">
        <v>897</v>
      </c>
      <c r="K11" s="3" t="s">
        <v>32</v>
      </c>
      <c r="L11" s="2" t="s">
        <v>868</v>
      </c>
      <c r="M11" s="2" t="s">
        <v>10</v>
      </c>
      <c r="N11" s="2" t="s">
        <v>18</v>
      </c>
      <c r="O11" s="5" t="str">
        <f t="shared" si="0"/>
        <v>C0402</v>
      </c>
      <c r="P11" s="2" t="s">
        <v>18</v>
      </c>
      <c r="Q11" s="2" t="str">
        <f t="shared" si="1"/>
        <v>C0402_RF</v>
      </c>
      <c r="R11" s="2" t="str">
        <f t="shared" si="2"/>
        <v>C-0402-NP0-50-10pF J</v>
      </c>
      <c r="S11" s="2" t="str">
        <f t="shared" si="3"/>
        <v>C-0402-NP0-50-10pF J</v>
      </c>
    </row>
    <row r="12" spans="1:19" s="2" customFormat="1" ht="20.100000000000001" customHeight="1" x14ac:dyDescent="0.25">
      <c r="A12" s="2" t="s">
        <v>316</v>
      </c>
      <c r="B12" s="36" t="s">
        <v>318</v>
      </c>
      <c r="C12" s="3" t="s">
        <v>887</v>
      </c>
      <c r="D12" s="5" t="s">
        <v>9</v>
      </c>
      <c r="E12" s="3" t="s">
        <v>319</v>
      </c>
      <c r="F12" s="2">
        <v>50</v>
      </c>
      <c r="G12" s="3" t="s">
        <v>26</v>
      </c>
      <c r="H12" s="3" t="s">
        <v>22</v>
      </c>
      <c r="I12" s="3"/>
      <c r="J12" t="s">
        <v>897</v>
      </c>
      <c r="K12" s="3" t="s">
        <v>32</v>
      </c>
      <c r="L12" s="2" t="s">
        <v>868</v>
      </c>
      <c r="M12" s="2" t="s">
        <v>10</v>
      </c>
      <c r="N12" s="2" t="s">
        <v>18</v>
      </c>
      <c r="O12" s="5" t="str">
        <f t="shared" si="0"/>
        <v>C0402</v>
      </c>
      <c r="P12" s="2" t="s">
        <v>18</v>
      </c>
      <c r="Q12" s="2" t="str">
        <f t="shared" si="1"/>
        <v>C0402_RF</v>
      </c>
      <c r="R12" s="2" t="str">
        <f t="shared" si="2"/>
        <v>C-0402-NP0-50-390pF J</v>
      </c>
      <c r="S12" s="2" t="str">
        <f t="shared" si="3"/>
        <v>C-0402-NP0-50-390pF J</v>
      </c>
    </row>
    <row r="13" spans="1:19" s="2" customFormat="1" ht="20.100000000000001" customHeight="1" x14ac:dyDescent="0.25">
      <c r="A13" s="2" t="s">
        <v>465</v>
      </c>
      <c r="B13" s="36" t="s">
        <v>1273</v>
      </c>
      <c r="C13" s="3" t="s">
        <v>887</v>
      </c>
      <c r="D13" s="5" t="s">
        <v>9</v>
      </c>
      <c r="E13" s="3" t="s">
        <v>468</v>
      </c>
      <c r="F13" s="2">
        <v>50</v>
      </c>
      <c r="G13" s="3" t="s">
        <v>26</v>
      </c>
      <c r="H13" s="3" t="s">
        <v>22</v>
      </c>
      <c r="I13" s="3"/>
      <c r="J13" t="s">
        <v>897</v>
      </c>
      <c r="K13" s="3" t="s">
        <v>32</v>
      </c>
      <c r="L13" s="2" t="s">
        <v>868</v>
      </c>
      <c r="M13" s="2" t="s">
        <v>10</v>
      </c>
      <c r="N13" s="2" t="s">
        <v>18</v>
      </c>
      <c r="O13" s="5" t="str">
        <f t="shared" si="0"/>
        <v>C0402</v>
      </c>
      <c r="P13" s="2" t="s">
        <v>18</v>
      </c>
      <c r="Q13" s="2" t="str">
        <f t="shared" si="1"/>
        <v>C0402_RF</v>
      </c>
      <c r="R13" s="2" t="str">
        <f t="shared" si="2"/>
        <v>C-0402-NP0-50-39pF J</v>
      </c>
      <c r="S13" s="2" t="str">
        <f t="shared" si="3"/>
        <v>C-0402-NP0-50-39pF J</v>
      </c>
    </row>
    <row r="14" spans="1:19" s="2" customFormat="1" ht="20.100000000000001" customHeight="1" x14ac:dyDescent="0.25">
      <c r="A14" s="2" t="s">
        <v>479</v>
      </c>
      <c r="B14" s="36" t="s">
        <v>1272</v>
      </c>
      <c r="C14" s="3" t="s">
        <v>887</v>
      </c>
      <c r="D14" s="5" t="s">
        <v>9</v>
      </c>
      <c r="E14" s="3" t="s">
        <v>481</v>
      </c>
      <c r="F14" s="2">
        <v>50</v>
      </c>
      <c r="G14" s="3" t="s">
        <v>26</v>
      </c>
      <c r="H14" s="3" t="s">
        <v>938</v>
      </c>
      <c r="I14" s="3"/>
      <c r="J14" t="s">
        <v>897</v>
      </c>
      <c r="K14" s="3" t="s">
        <v>32</v>
      </c>
      <c r="L14" s="2" t="s">
        <v>868</v>
      </c>
      <c r="M14" s="2" t="s">
        <v>10</v>
      </c>
      <c r="N14" s="2" t="s">
        <v>18</v>
      </c>
      <c r="O14" s="5" t="str">
        <f t="shared" si="0"/>
        <v>C0402</v>
      </c>
      <c r="P14" s="2" t="s">
        <v>18</v>
      </c>
      <c r="Q14" s="2" t="str">
        <f t="shared" si="1"/>
        <v>C0402_RF</v>
      </c>
      <c r="R14" s="2" t="str">
        <f t="shared" si="2"/>
        <v>C-0402-NP0-50-6pF B</v>
      </c>
      <c r="S14" s="2" t="str">
        <f t="shared" si="3"/>
        <v>C-0402-NP0-50-6pF B</v>
      </c>
    </row>
    <row r="15" spans="1:19" s="2" customFormat="1" ht="20.100000000000001" customHeight="1" x14ac:dyDescent="0.25">
      <c r="A15" s="2" t="s">
        <v>537</v>
      </c>
      <c r="B15" s="36" t="s">
        <v>1271</v>
      </c>
      <c r="C15" s="3" t="s">
        <v>887</v>
      </c>
      <c r="D15" s="5" t="s">
        <v>9</v>
      </c>
      <c r="E15" s="3" t="s">
        <v>539</v>
      </c>
      <c r="F15" s="2">
        <v>50</v>
      </c>
      <c r="G15" s="3" t="s">
        <v>26</v>
      </c>
      <c r="H15" s="3" t="s">
        <v>938</v>
      </c>
      <c r="I15" s="3"/>
      <c r="J15" t="s">
        <v>897</v>
      </c>
      <c r="K15" s="3" t="s">
        <v>32</v>
      </c>
      <c r="L15" s="2" t="s">
        <v>868</v>
      </c>
      <c r="M15" s="2" t="s">
        <v>10</v>
      </c>
      <c r="N15" s="2" t="s">
        <v>18</v>
      </c>
      <c r="O15" s="5" t="str">
        <f t="shared" si="0"/>
        <v>C0402</v>
      </c>
      <c r="P15" s="2" t="s">
        <v>18</v>
      </c>
      <c r="Q15" s="2" t="str">
        <f t="shared" si="1"/>
        <v>C0402_RF</v>
      </c>
      <c r="R15" s="2" t="str">
        <f t="shared" si="2"/>
        <v>C-0402-NP0-50-4.7pF B</v>
      </c>
      <c r="S15" s="2" t="str">
        <f t="shared" si="3"/>
        <v>C-0402-NP0-50-4.7pF B</v>
      </c>
    </row>
    <row r="16" spans="1:19" s="2" customFormat="1" ht="20.100000000000001" customHeight="1" x14ac:dyDescent="0.25">
      <c r="A16" s="2" t="s">
        <v>823</v>
      </c>
      <c r="B16" s="36" t="s">
        <v>824</v>
      </c>
      <c r="C16" s="3" t="s">
        <v>887</v>
      </c>
      <c r="D16" s="5" t="s">
        <v>9</v>
      </c>
      <c r="E16" s="3" t="s">
        <v>825</v>
      </c>
      <c r="F16" s="2">
        <v>50</v>
      </c>
      <c r="G16" s="3" t="s">
        <v>26</v>
      </c>
      <c r="H16" s="3" t="s">
        <v>22</v>
      </c>
      <c r="I16" s="3"/>
      <c r="J16" t="s">
        <v>897</v>
      </c>
      <c r="K16" s="3" t="s">
        <v>32</v>
      </c>
      <c r="L16" s="2" t="s">
        <v>868</v>
      </c>
      <c r="M16" s="2" t="s">
        <v>10</v>
      </c>
      <c r="N16" s="2" t="s">
        <v>18</v>
      </c>
      <c r="O16" s="5" t="str">
        <f t="shared" si="0"/>
        <v>C0402</v>
      </c>
      <c r="P16" s="2" t="s">
        <v>18</v>
      </c>
      <c r="Q16" s="2" t="str">
        <f t="shared" si="1"/>
        <v>C0402_RF</v>
      </c>
      <c r="R16" s="2" t="str">
        <f t="shared" si="2"/>
        <v>C-0402-NP0-50-680pF J</v>
      </c>
      <c r="S16" s="2" t="str">
        <f t="shared" si="3"/>
        <v>C-0402-NP0-50-680pF J</v>
      </c>
    </row>
    <row r="17" spans="1:19" s="2" customFormat="1" ht="20.100000000000001" customHeight="1" x14ac:dyDescent="0.25">
      <c r="A17" s="2" t="s">
        <v>936</v>
      </c>
      <c r="B17" s="36" t="s">
        <v>1270</v>
      </c>
      <c r="C17" s="3" t="s">
        <v>887</v>
      </c>
      <c r="D17" s="5" t="s">
        <v>9</v>
      </c>
      <c r="E17" s="3" t="s">
        <v>937</v>
      </c>
      <c r="F17" s="2">
        <v>50</v>
      </c>
      <c r="G17" s="3" t="s">
        <v>26</v>
      </c>
      <c r="H17" s="3" t="s">
        <v>938</v>
      </c>
      <c r="I17" s="3"/>
      <c r="J17" t="s">
        <v>897</v>
      </c>
      <c r="K17" s="3" t="s">
        <v>32</v>
      </c>
      <c r="L17" s="2" t="s">
        <v>868</v>
      </c>
      <c r="M17" s="2" t="s">
        <v>10</v>
      </c>
      <c r="N17" s="2" t="s">
        <v>18</v>
      </c>
      <c r="O17" s="5" t="str">
        <f t="shared" si="0"/>
        <v>C0402</v>
      </c>
      <c r="P17" s="2" t="s">
        <v>18</v>
      </c>
      <c r="Q17" s="2" t="str">
        <f t="shared" si="1"/>
        <v>C0402_RF</v>
      </c>
      <c r="R17" s="2" t="str">
        <f t="shared" si="2"/>
        <v>C-0402-NP0-50-5.6pF B</v>
      </c>
      <c r="S17" s="2" t="str">
        <f t="shared" si="3"/>
        <v>C-0402-NP0-50-5.6pF B</v>
      </c>
    </row>
    <row r="18" spans="1:19" s="2" customFormat="1" ht="20.100000000000001" customHeight="1" x14ac:dyDescent="0.25">
      <c r="A18" s="2" t="s">
        <v>942</v>
      </c>
      <c r="B18" s="36" t="s">
        <v>1277</v>
      </c>
      <c r="C18" s="3" t="s">
        <v>887</v>
      </c>
      <c r="D18" s="5" t="s">
        <v>9</v>
      </c>
      <c r="E18" s="3" t="s">
        <v>941</v>
      </c>
      <c r="F18" s="2">
        <v>50</v>
      </c>
      <c r="G18" s="3" t="s">
        <v>26</v>
      </c>
      <c r="H18" s="3" t="s">
        <v>22</v>
      </c>
      <c r="I18" s="3"/>
      <c r="J18" t="s">
        <v>897</v>
      </c>
      <c r="K18" s="3" t="s">
        <v>32</v>
      </c>
      <c r="L18" s="2" t="s">
        <v>868</v>
      </c>
      <c r="M18" s="2" t="s">
        <v>10</v>
      </c>
      <c r="N18" s="2" t="s">
        <v>18</v>
      </c>
      <c r="O18" s="5" t="str">
        <f t="shared" si="0"/>
        <v>C0402</v>
      </c>
      <c r="P18" s="2" t="s">
        <v>18</v>
      </c>
      <c r="Q18" s="2" t="str">
        <f t="shared" si="1"/>
        <v>C0402_RF</v>
      </c>
      <c r="R18" s="2" t="str">
        <f t="shared" ref="R18" si="4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3"/>
        <v>C-0402-NP0-50-18pF J</v>
      </c>
    </row>
    <row r="19" spans="1:19" s="2" customFormat="1" ht="20.100000000000001" customHeight="1" x14ac:dyDescent="0.25">
      <c r="A19" s="2" t="s">
        <v>1267</v>
      </c>
      <c r="B19" s="36" t="s">
        <v>1269</v>
      </c>
      <c r="C19" s="3" t="s">
        <v>887</v>
      </c>
      <c r="D19" s="5" t="s">
        <v>9</v>
      </c>
      <c r="E19" s="3" t="s">
        <v>1268</v>
      </c>
      <c r="F19" s="2">
        <v>50</v>
      </c>
      <c r="G19" s="3" t="s">
        <v>26</v>
      </c>
      <c r="H19" s="3" t="s">
        <v>22</v>
      </c>
      <c r="I19" s="3"/>
      <c r="J19" t="s">
        <v>897</v>
      </c>
      <c r="K19" s="3" t="s">
        <v>32</v>
      </c>
      <c r="L19" s="2" t="s">
        <v>868</v>
      </c>
      <c r="M19" s="2" t="s">
        <v>10</v>
      </c>
      <c r="N19" s="2" t="s">
        <v>18</v>
      </c>
      <c r="O19" s="5" t="str">
        <f t="shared" ref="O19" si="5">_xlfn.CONCAT("C",D19)</f>
        <v>C0402</v>
      </c>
      <c r="P19" s="2" t="s">
        <v>18</v>
      </c>
      <c r="Q19" s="2" t="str">
        <f t="shared" ref="Q19" si="6">_xlfn.CONCAT(O19,"_RF")</f>
        <v>C0402_RF</v>
      </c>
      <c r="R19" s="2" t="str">
        <f t="shared" ref="R19" si="7">_xlfn.CONCAT("C-",D19,"-",G19,"-",F19,"-",E19," ", _xlfn.IFS(H19 ="±0,03", "A",H19 ="±0,1", "B", H19 = "±0,25", "C", H19 = "±0,5", "D", H19 = "±1%", "F",H19="±2%","G",H19="±5%", "J", H19="±10%", "K", H19="±20%", "M"))</f>
        <v>C-0402-NP0-50-22pF J</v>
      </c>
      <c r="S19" s="2" t="str">
        <f t="shared" ref="S19" si="8">R19</f>
        <v>C-0402-NP0-50-22pF J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M30"/>
  <sheetViews>
    <sheetView zoomScale="85" zoomScaleNormal="85" workbookViewId="0">
      <selection activeCell="C18" sqref="C18"/>
    </sheetView>
  </sheetViews>
  <sheetFormatPr defaultRowHeight="15.75" x14ac:dyDescent="0.25"/>
  <cols>
    <col min="1" max="1" width="45.125" style="2" customWidth="1"/>
    <col min="2" max="2" width="40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13.62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90</v>
      </c>
      <c r="F1" s="12" t="s">
        <v>91</v>
      </c>
      <c r="G1" s="12" t="s">
        <v>19</v>
      </c>
      <c r="H1" s="12" t="s">
        <v>5</v>
      </c>
      <c r="I1" s="12" t="s">
        <v>6</v>
      </c>
      <c r="J1" s="12" t="s">
        <v>7</v>
      </c>
      <c r="K1" s="12" t="s">
        <v>8</v>
      </c>
      <c r="L1" s="21" t="s">
        <v>29</v>
      </c>
      <c r="M1" s="25" t="s">
        <v>35</v>
      </c>
    </row>
    <row r="2" spans="1:13" x14ac:dyDescent="0.25">
      <c r="A2" s="2" t="s">
        <v>87</v>
      </c>
      <c r="B2" s="2" t="s">
        <v>88</v>
      </c>
      <c r="C2" s="2" t="s">
        <v>98</v>
      </c>
      <c r="D2" s="2" t="s">
        <v>95</v>
      </c>
      <c r="E2" s="2" t="s">
        <v>92</v>
      </c>
      <c r="F2" s="5" t="s">
        <v>93</v>
      </c>
      <c r="G2" s="5" t="s">
        <v>1120</v>
      </c>
      <c r="H2" s="2" t="s">
        <v>874</v>
      </c>
      <c r="I2" s="2" t="s">
        <v>94</v>
      </c>
      <c r="J2" s="12" t="s">
        <v>869</v>
      </c>
      <c r="K2" s="2" t="s">
        <v>95</v>
      </c>
      <c r="L2" s="2" t="str">
        <f t="shared" ref="L2:L26" si="0">A2</f>
        <v>LM2664M6X</v>
      </c>
      <c r="M2" s="2" t="str">
        <f t="shared" ref="M2:M14" si="1">L2</f>
        <v>LM2664M6X</v>
      </c>
    </row>
    <row r="3" spans="1:13" x14ac:dyDescent="0.25">
      <c r="A3" s="2" t="s">
        <v>96</v>
      </c>
      <c r="B3" s="2" t="s">
        <v>97</v>
      </c>
      <c r="C3" s="2" t="s">
        <v>98</v>
      </c>
      <c r="D3" s="2" t="s">
        <v>99</v>
      </c>
      <c r="E3" s="2" t="s">
        <v>100</v>
      </c>
      <c r="F3" s="2">
        <v>5</v>
      </c>
      <c r="G3" s="2" t="s">
        <v>1121</v>
      </c>
      <c r="H3" s="2" t="s">
        <v>1071</v>
      </c>
      <c r="I3" s="2" t="s">
        <v>101</v>
      </c>
      <c r="J3" s="12" t="s">
        <v>869</v>
      </c>
      <c r="K3" s="2" t="s">
        <v>99</v>
      </c>
      <c r="L3" s="2" t="str">
        <f t="shared" si="0"/>
        <v>LP5912-5.0DRVR</v>
      </c>
      <c r="M3" s="2" t="str">
        <f t="shared" si="1"/>
        <v>LP5912-5.0DRVR</v>
      </c>
    </row>
    <row r="4" spans="1:13" x14ac:dyDescent="0.25">
      <c r="A4" s="2" t="s">
        <v>105</v>
      </c>
      <c r="B4" s="2" t="s">
        <v>106</v>
      </c>
      <c r="C4" s="2" t="s">
        <v>89</v>
      </c>
      <c r="D4" s="2" t="s">
        <v>107</v>
      </c>
      <c r="E4" s="2" t="s">
        <v>103</v>
      </c>
      <c r="F4" s="2" t="s">
        <v>104</v>
      </c>
      <c r="G4" s="2" t="s">
        <v>1121</v>
      </c>
      <c r="H4" s="2" t="s">
        <v>1071</v>
      </c>
      <c r="I4" s="2" t="s">
        <v>102</v>
      </c>
      <c r="J4" s="12" t="s">
        <v>869</v>
      </c>
      <c r="K4" s="2" t="s">
        <v>854</v>
      </c>
      <c r="L4" s="2" t="str">
        <f t="shared" si="0"/>
        <v>LT1764EFE#PBF</v>
      </c>
      <c r="M4" s="2" t="str">
        <f t="shared" si="1"/>
        <v>LT1764EFE#PBF</v>
      </c>
    </row>
    <row r="5" spans="1:13" x14ac:dyDescent="0.25">
      <c r="A5" s="2" t="s">
        <v>143</v>
      </c>
      <c r="B5" s="2" t="s">
        <v>108</v>
      </c>
      <c r="C5" s="2" t="s">
        <v>98</v>
      </c>
      <c r="D5" s="2" t="s">
        <v>109</v>
      </c>
      <c r="E5" s="2" t="s">
        <v>110</v>
      </c>
      <c r="F5" s="2" t="s">
        <v>111</v>
      </c>
      <c r="G5" s="5" t="s">
        <v>1120</v>
      </c>
      <c r="H5" s="2" t="s">
        <v>874</v>
      </c>
      <c r="I5" s="2" t="s">
        <v>112</v>
      </c>
      <c r="J5" s="12" t="s">
        <v>869</v>
      </c>
      <c r="K5" s="2" t="s">
        <v>109</v>
      </c>
      <c r="L5" s="2" t="str">
        <f t="shared" si="0"/>
        <v xml:space="preserve">LM2585S-ADJ/NOPB </v>
      </c>
      <c r="M5" s="2" t="str">
        <f t="shared" si="1"/>
        <v xml:space="preserve">LM2585S-ADJ/NOPB </v>
      </c>
    </row>
    <row r="6" spans="1:13" x14ac:dyDescent="0.25">
      <c r="A6" s="2" t="s">
        <v>113</v>
      </c>
      <c r="B6" s="2" t="s">
        <v>114</v>
      </c>
      <c r="C6" s="2" t="s">
        <v>98</v>
      </c>
      <c r="D6" s="2" t="s">
        <v>198</v>
      </c>
      <c r="E6" s="18" t="s">
        <v>115</v>
      </c>
      <c r="F6" s="2" t="s">
        <v>116</v>
      </c>
      <c r="G6" s="5" t="s">
        <v>1120</v>
      </c>
      <c r="H6" s="2" t="s">
        <v>874</v>
      </c>
      <c r="I6" s="2" t="s">
        <v>117</v>
      </c>
      <c r="J6" s="12" t="s">
        <v>869</v>
      </c>
      <c r="K6" s="2" t="s">
        <v>198</v>
      </c>
      <c r="L6" s="2" t="str">
        <f t="shared" si="0"/>
        <v>TPS54332DDAR</v>
      </c>
      <c r="M6" s="2" t="str">
        <f t="shared" si="1"/>
        <v>TPS54332DDAR</v>
      </c>
    </row>
    <row r="7" spans="1:13" x14ac:dyDescent="0.25">
      <c r="A7" s="2" t="s">
        <v>118</v>
      </c>
      <c r="B7" s="2" t="s">
        <v>119</v>
      </c>
      <c r="C7" s="2" t="s">
        <v>89</v>
      </c>
      <c r="D7" s="2" t="s">
        <v>120</v>
      </c>
      <c r="E7" s="2" t="s">
        <v>121</v>
      </c>
      <c r="F7" s="2" t="s">
        <v>122</v>
      </c>
      <c r="G7" s="2" t="s">
        <v>1121</v>
      </c>
      <c r="H7" s="2" t="s">
        <v>1071</v>
      </c>
      <c r="I7" s="2" t="s">
        <v>123</v>
      </c>
      <c r="J7" s="12" t="s">
        <v>869</v>
      </c>
      <c r="K7" s="2" t="s">
        <v>199</v>
      </c>
      <c r="L7" s="2" t="str">
        <f t="shared" si="0"/>
        <v>LT1965EDD#PBF</v>
      </c>
      <c r="M7" s="2" t="str">
        <f t="shared" si="1"/>
        <v>LT1965EDD#PBF</v>
      </c>
    </row>
    <row r="8" spans="1:13" x14ac:dyDescent="0.25">
      <c r="A8" s="2" t="s">
        <v>259</v>
      </c>
      <c r="B8" s="2" t="s">
        <v>260</v>
      </c>
      <c r="C8" s="2" t="s">
        <v>98</v>
      </c>
      <c r="D8" s="2" t="s">
        <v>261</v>
      </c>
      <c r="E8" s="2" t="s">
        <v>262</v>
      </c>
      <c r="F8" s="5" t="s">
        <v>263</v>
      </c>
      <c r="G8" s="5" t="s">
        <v>1120</v>
      </c>
      <c r="H8" s="2" t="s">
        <v>874</v>
      </c>
      <c r="I8" s="2" t="s">
        <v>259</v>
      </c>
      <c r="J8" s="12" t="s">
        <v>869</v>
      </c>
      <c r="K8" s="2" t="s">
        <v>287</v>
      </c>
      <c r="L8" s="2" t="str">
        <f t="shared" si="0"/>
        <v>TPS82140SILT</v>
      </c>
      <c r="M8" s="2" t="str">
        <f t="shared" si="1"/>
        <v>TPS82140SILT</v>
      </c>
    </row>
    <row r="9" spans="1:13" x14ac:dyDescent="0.25">
      <c r="A9" s="19" t="s">
        <v>358</v>
      </c>
      <c r="B9" s="2" t="s">
        <v>359</v>
      </c>
      <c r="C9" s="2" t="s">
        <v>98</v>
      </c>
      <c r="D9" s="2" t="s">
        <v>360</v>
      </c>
      <c r="E9" s="2" t="s">
        <v>361</v>
      </c>
      <c r="F9" s="5" t="s">
        <v>362</v>
      </c>
      <c r="G9" s="2" t="s">
        <v>1121</v>
      </c>
      <c r="H9" s="2" t="s">
        <v>1071</v>
      </c>
      <c r="I9" s="2" t="s">
        <v>358</v>
      </c>
      <c r="J9" s="12" t="s">
        <v>869</v>
      </c>
      <c r="K9" s="2" t="s">
        <v>360</v>
      </c>
      <c r="L9" s="2" t="str">
        <f t="shared" si="0"/>
        <v>LM27762DSS</v>
      </c>
      <c r="M9" s="2" t="str">
        <f t="shared" si="1"/>
        <v>LM27762DSS</v>
      </c>
    </row>
    <row r="10" spans="1:13" x14ac:dyDescent="0.25">
      <c r="A10" s="2" t="s">
        <v>401</v>
      </c>
      <c r="B10" s="2" t="s">
        <v>432</v>
      </c>
      <c r="C10" s="2" t="s">
        <v>89</v>
      </c>
      <c r="D10" s="2" t="s">
        <v>402</v>
      </c>
      <c r="E10" s="2" t="s">
        <v>403</v>
      </c>
      <c r="F10" s="2" t="s">
        <v>404</v>
      </c>
      <c r="G10" s="5" t="s">
        <v>1120</v>
      </c>
      <c r="H10" s="2" t="s">
        <v>874</v>
      </c>
      <c r="I10" s="2" t="s">
        <v>401</v>
      </c>
      <c r="J10" s="12" t="s">
        <v>869</v>
      </c>
      <c r="L10" s="2" t="str">
        <f t="shared" si="0"/>
        <v>ADP5054ACPZ</v>
      </c>
      <c r="M10" s="2" t="str">
        <f t="shared" si="1"/>
        <v>ADP5054ACPZ</v>
      </c>
    </row>
    <row r="11" spans="1:13" x14ac:dyDescent="0.25">
      <c r="A11" s="2" t="s">
        <v>425</v>
      </c>
      <c r="B11" s="2" t="s">
        <v>431</v>
      </c>
      <c r="C11" s="2" t="s">
        <v>89</v>
      </c>
      <c r="D11" s="2" t="s">
        <v>426</v>
      </c>
      <c r="E11" s="2" t="s">
        <v>427</v>
      </c>
      <c r="F11" s="2" t="s">
        <v>428</v>
      </c>
      <c r="G11" s="2" t="s">
        <v>1121</v>
      </c>
      <c r="H11" s="2" t="s">
        <v>1071</v>
      </c>
      <c r="I11" s="2" t="s">
        <v>425</v>
      </c>
      <c r="J11" s="12" t="s">
        <v>869</v>
      </c>
      <c r="L11" s="2" t="str">
        <f t="shared" si="0"/>
        <v>ADP1763ACPZ</v>
      </c>
      <c r="M11" s="2" t="str">
        <f t="shared" si="1"/>
        <v>ADP1763ACPZ</v>
      </c>
    </row>
    <row r="12" spans="1:13" x14ac:dyDescent="0.25">
      <c r="A12" s="2" t="s">
        <v>803</v>
      </c>
      <c r="B12" s="2" t="s">
        <v>707</v>
      </c>
      <c r="C12" s="2" t="s">
        <v>89</v>
      </c>
      <c r="D12" s="2" t="s">
        <v>430</v>
      </c>
      <c r="E12" s="2" t="s">
        <v>433</v>
      </c>
      <c r="F12" s="2" t="s">
        <v>434</v>
      </c>
      <c r="G12" s="2" t="s">
        <v>1121</v>
      </c>
      <c r="H12" s="2" t="s">
        <v>1071</v>
      </c>
      <c r="I12" s="2" t="s">
        <v>429</v>
      </c>
      <c r="J12" s="12" t="s">
        <v>869</v>
      </c>
      <c r="K12" s="2" t="s">
        <v>861</v>
      </c>
      <c r="L12" s="2" t="str">
        <f t="shared" si="0"/>
        <v>ADM7172ACPZ-R7</v>
      </c>
      <c r="M12" s="2" t="str">
        <f t="shared" si="1"/>
        <v>ADM7172ACPZ-R7</v>
      </c>
    </row>
    <row r="13" spans="1:13" x14ac:dyDescent="0.25">
      <c r="A13" s="2" t="s">
        <v>454</v>
      </c>
      <c r="B13" s="2" t="s">
        <v>455</v>
      </c>
      <c r="C13" s="2" t="s">
        <v>89</v>
      </c>
      <c r="D13" s="2" t="s">
        <v>430</v>
      </c>
      <c r="E13" s="2" t="s">
        <v>456</v>
      </c>
      <c r="F13" s="6" t="s">
        <v>457</v>
      </c>
      <c r="G13" s="2" t="s">
        <v>1121</v>
      </c>
      <c r="H13" s="2" t="s">
        <v>1071</v>
      </c>
      <c r="I13" s="2" t="s">
        <v>454</v>
      </c>
      <c r="J13" s="12" t="s">
        <v>869</v>
      </c>
      <c r="K13" s="2" t="s">
        <v>861</v>
      </c>
      <c r="L13" s="2" t="str">
        <f t="shared" si="0"/>
        <v>ADM7150ACPZ-3.3</v>
      </c>
      <c r="M13" s="2" t="str">
        <f t="shared" si="1"/>
        <v>ADM7150ACPZ-3.3</v>
      </c>
    </row>
    <row r="14" spans="1:13" x14ac:dyDescent="0.25">
      <c r="A14" s="2" t="s">
        <v>460</v>
      </c>
      <c r="B14" s="2" t="s">
        <v>459</v>
      </c>
      <c r="C14" s="2" t="s">
        <v>461</v>
      </c>
      <c r="D14" s="2" t="s">
        <v>462</v>
      </c>
      <c r="E14" s="2" t="s">
        <v>898</v>
      </c>
      <c r="F14" s="2" t="s">
        <v>899</v>
      </c>
      <c r="G14" s="2" t="s">
        <v>1121</v>
      </c>
      <c r="H14" s="2" t="s">
        <v>1071</v>
      </c>
      <c r="I14" s="2" t="s">
        <v>458</v>
      </c>
      <c r="J14" s="12" t="s">
        <v>869</v>
      </c>
      <c r="L14" s="2" t="str">
        <f t="shared" si="0"/>
        <v>SGM2208XTDF12G/TR</v>
      </c>
      <c r="M14" s="2" t="str">
        <f t="shared" si="1"/>
        <v>SGM2208XTDF12G/TR</v>
      </c>
    </row>
    <row r="15" spans="1:13" x14ac:dyDescent="0.25">
      <c r="A15" s="2" t="s">
        <v>491</v>
      </c>
      <c r="B15" s="2" t="s">
        <v>455</v>
      </c>
      <c r="C15" s="2" t="s">
        <v>89</v>
      </c>
      <c r="D15" s="2" t="s">
        <v>430</v>
      </c>
      <c r="E15" s="2" t="s">
        <v>492</v>
      </c>
      <c r="F15" s="6" t="s">
        <v>493</v>
      </c>
      <c r="G15" s="2" t="s">
        <v>1121</v>
      </c>
      <c r="H15" s="2" t="s">
        <v>1071</v>
      </c>
      <c r="I15" s="2" t="s">
        <v>490</v>
      </c>
      <c r="J15" s="12" t="s">
        <v>869</v>
      </c>
      <c r="L15" s="2" t="str">
        <f t="shared" si="0"/>
        <v>ADM7154ACPZ-1.8-R7</v>
      </c>
      <c r="M15" s="2" t="str">
        <f t="shared" ref="M15:M25" si="2">L15</f>
        <v>ADM7154ACPZ-1.8-R7</v>
      </c>
    </row>
    <row r="16" spans="1:13" x14ac:dyDescent="0.25">
      <c r="A16" s="2" t="s">
        <v>501</v>
      </c>
      <c r="B16" s="2" t="s">
        <v>502</v>
      </c>
      <c r="C16" s="2" t="s">
        <v>89</v>
      </c>
      <c r="D16" s="2" t="s">
        <v>503</v>
      </c>
      <c r="E16" s="2" t="s">
        <v>504</v>
      </c>
      <c r="F16" s="2" t="s">
        <v>900</v>
      </c>
      <c r="G16" s="5" t="s">
        <v>1120</v>
      </c>
      <c r="H16" s="2" t="s">
        <v>874</v>
      </c>
      <c r="I16" s="2" t="s">
        <v>501</v>
      </c>
      <c r="J16" s="12" t="s">
        <v>869</v>
      </c>
      <c r="L16" s="2" t="str">
        <f t="shared" si="0"/>
        <v>LT8612EUDE</v>
      </c>
      <c r="M16" s="2" t="str">
        <f t="shared" si="2"/>
        <v>LT8612EUDE</v>
      </c>
    </row>
    <row r="17" spans="1:13" x14ac:dyDescent="0.25">
      <c r="A17" s="2" t="s">
        <v>611</v>
      </c>
      <c r="B17" s="2" t="s">
        <v>614</v>
      </c>
      <c r="C17" s="2" t="s">
        <v>89</v>
      </c>
      <c r="D17" s="2" t="s">
        <v>615</v>
      </c>
      <c r="E17" s="2" t="s">
        <v>616</v>
      </c>
      <c r="F17" s="6" t="s">
        <v>617</v>
      </c>
      <c r="G17" s="2" t="s">
        <v>1121</v>
      </c>
      <c r="H17" s="2" t="s">
        <v>1071</v>
      </c>
      <c r="I17" s="2" t="s">
        <v>611</v>
      </c>
      <c r="J17" s="12" t="s">
        <v>869</v>
      </c>
      <c r="L17" s="2" t="str">
        <f t="shared" si="0"/>
        <v>ADP151AUJZ-2.5</v>
      </c>
      <c r="M17" s="2" t="str">
        <f t="shared" si="2"/>
        <v>ADP151AUJZ-2.5</v>
      </c>
    </row>
    <row r="18" spans="1:13" x14ac:dyDescent="0.25">
      <c r="A18" s="2" t="s">
        <v>612</v>
      </c>
      <c r="B18" s="2" t="s">
        <v>618</v>
      </c>
      <c r="C18" s="2" t="s">
        <v>98</v>
      </c>
      <c r="D18" s="2" t="s">
        <v>619</v>
      </c>
      <c r="E18" s="2" t="s">
        <v>622</v>
      </c>
      <c r="F18" s="6" t="s">
        <v>621</v>
      </c>
      <c r="G18" s="2" t="s">
        <v>1121</v>
      </c>
      <c r="H18" s="2" t="s">
        <v>1071</v>
      </c>
      <c r="I18" s="2" t="s">
        <v>612</v>
      </c>
      <c r="J18" s="12" t="s">
        <v>869</v>
      </c>
      <c r="K18" s="2" t="s">
        <v>846</v>
      </c>
      <c r="L18" s="2" t="str">
        <f t="shared" si="0"/>
        <v>TLV73310PDBVR</v>
      </c>
      <c r="M18" s="2" t="str">
        <f t="shared" si="2"/>
        <v>TLV73310PDBVR</v>
      </c>
    </row>
    <row r="19" spans="1:13" x14ac:dyDescent="0.25">
      <c r="A19" s="2" t="s">
        <v>613</v>
      </c>
      <c r="B19" s="2" t="s">
        <v>620</v>
      </c>
      <c r="C19" s="2" t="s">
        <v>98</v>
      </c>
      <c r="D19" s="2" t="s">
        <v>619</v>
      </c>
      <c r="E19" s="2" t="s">
        <v>616</v>
      </c>
      <c r="F19" s="6" t="s">
        <v>493</v>
      </c>
      <c r="G19" s="2" t="s">
        <v>1121</v>
      </c>
      <c r="H19" s="2" t="s">
        <v>1071</v>
      </c>
      <c r="I19" s="2" t="s">
        <v>613</v>
      </c>
      <c r="J19" s="12" t="s">
        <v>869</v>
      </c>
      <c r="K19" s="2" t="s">
        <v>846</v>
      </c>
      <c r="L19" s="2" t="str">
        <f t="shared" si="0"/>
        <v>TLV73318PDBVR</v>
      </c>
      <c r="M19" s="2" t="str">
        <f t="shared" si="2"/>
        <v>TLV73318PDBVR</v>
      </c>
    </row>
    <row r="20" spans="1:13" x14ac:dyDescent="0.25">
      <c r="A20" s="2" t="s">
        <v>708</v>
      </c>
      <c r="B20" s="2" t="s">
        <v>709</v>
      </c>
      <c r="C20" s="2" t="s">
        <v>98</v>
      </c>
      <c r="D20" s="2" t="s">
        <v>710</v>
      </c>
      <c r="E20" s="2" t="s">
        <v>711</v>
      </c>
      <c r="F20" s="2" t="s">
        <v>712</v>
      </c>
      <c r="G20" s="5" t="s">
        <v>1120</v>
      </c>
      <c r="H20" s="2" t="s">
        <v>874</v>
      </c>
      <c r="I20" s="2" t="s">
        <v>708</v>
      </c>
      <c r="J20" s="12" t="s">
        <v>869</v>
      </c>
      <c r="L20" s="2" t="str">
        <f t="shared" si="0"/>
        <v>TPS54394RSAR</v>
      </c>
      <c r="M20" s="2" t="str">
        <f t="shared" si="2"/>
        <v>TPS54394RSAR</v>
      </c>
    </row>
    <row r="21" spans="1:13" x14ac:dyDescent="0.25">
      <c r="A21" s="2" t="s">
        <v>737</v>
      </c>
      <c r="B21" s="2" t="s">
        <v>738</v>
      </c>
      <c r="C21" s="2" t="s">
        <v>98</v>
      </c>
      <c r="D21" s="2" t="s">
        <v>739</v>
      </c>
      <c r="E21" s="2" t="s">
        <v>740</v>
      </c>
      <c r="F21" s="17" t="s">
        <v>741</v>
      </c>
      <c r="G21" s="5" t="s">
        <v>1120</v>
      </c>
      <c r="H21" s="2" t="s">
        <v>874</v>
      </c>
      <c r="I21" s="2" t="s">
        <v>742</v>
      </c>
      <c r="J21" s="12" t="s">
        <v>869</v>
      </c>
      <c r="K21" s="2" t="s">
        <v>972</v>
      </c>
      <c r="L21" s="2" t="str">
        <f t="shared" si="0"/>
        <v>TPS566238RQFR</v>
      </c>
      <c r="M21" s="2" t="str">
        <f t="shared" si="2"/>
        <v>TPS566238RQFR</v>
      </c>
    </row>
    <row r="22" spans="1:13" x14ac:dyDescent="0.25">
      <c r="A22" s="2" t="s">
        <v>766</v>
      </c>
      <c r="B22" s="2" t="s">
        <v>767</v>
      </c>
      <c r="C22" s="2" t="s">
        <v>98</v>
      </c>
      <c r="D22" s="2" t="s">
        <v>768</v>
      </c>
      <c r="E22" s="2" t="s">
        <v>769</v>
      </c>
      <c r="F22" s="17" t="s">
        <v>770</v>
      </c>
      <c r="G22" s="2" t="s">
        <v>1121</v>
      </c>
      <c r="H22" s="2" t="s">
        <v>1071</v>
      </c>
      <c r="I22" s="2" t="s">
        <v>771</v>
      </c>
      <c r="J22" s="12" t="s">
        <v>869</v>
      </c>
      <c r="K22" s="2" t="s">
        <v>973</v>
      </c>
      <c r="L22" s="2" t="str">
        <f t="shared" si="0"/>
        <v>TPS7A5401RPSR</v>
      </c>
      <c r="M22" s="2" t="str">
        <f t="shared" si="2"/>
        <v>TPS7A5401RPSR</v>
      </c>
    </row>
    <row r="23" spans="1:13" x14ac:dyDescent="0.25">
      <c r="A23" s="2" t="s">
        <v>812</v>
      </c>
      <c r="B23" s="2" t="s">
        <v>813</v>
      </c>
      <c r="C23" s="2" t="s">
        <v>89</v>
      </c>
      <c r="D23" s="2" t="s">
        <v>814</v>
      </c>
      <c r="E23" s="2" t="s">
        <v>815</v>
      </c>
      <c r="F23" s="2">
        <v>1</v>
      </c>
      <c r="G23" s="5" t="s">
        <v>1120</v>
      </c>
      <c r="H23" s="2" t="s">
        <v>874</v>
      </c>
      <c r="I23" s="2" t="s">
        <v>816</v>
      </c>
      <c r="J23" s="12" t="s">
        <v>869</v>
      </c>
      <c r="K23" s="2" t="s">
        <v>860</v>
      </c>
      <c r="L23" s="2" t="str">
        <f t="shared" si="0"/>
        <v>ADP2166ACPZ-1.0-R7</v>
      </c>
      <c r="M23" s="2" t="str">
        <f t="shared" si="2"/>
        <v>ADP2166ACPZ-1.0-R7</v>
      </c>
    </row>
    <row r="24" spans="1:13" x14ac:dyDescent="0.25">
      <c r="A24" s="2" t="s">
        <v>829</v>
      </c>
      <c r="B24" s="2" t="s">
        <v>707</v>
      </c>
      <c r="C24" s="2" t="s">
        <v>89</v>
      </c>
      <c r="D24" s="2" t="s">
        <v>430</v>
      </c>
      <c r="E24" s="2" t="s">
        <v>433</v>
      </c>
      <c r="F24" s="2" t="s">
        <v>434</v>
      </c>
      <c r="G24" s="2" t="s">
        <v>1121</v>
      </c>
      <c r="H24" s="2" t="s">
        <v>1071</v>
      </c>
      <c r="I24" s="2" t="s">
        <v>429</v>
      </c>
      <c r="J24" s="12" t="s">
        <v>869</v>
      </c>
      <c r="K24" s="2" t="s">
        <v>861</v>
      </c>
      <c r="L24" s="2" t="str">
        <f t="shared" si="0"/>
        <v>ADM7170ACPZ-R7</v>
      </c>
      <c r="M24" s="2" t="str">
        <f t="shared" si="2"/>
        <v>ADM7170ACPZ-R7</v>
      </c>
    </row>
    <row r="25" spans="1:13" x14ac:dyDescent="0.25">
      <c r="A25" s="2" t="s">
        <v>1066</v>
      </c>
      <c r="B25" s="2" t="s">
        <v>1067</v>
      </c>
      <c r="C25" s="2" t="s">
        <v>89</v>
      </c>
      <c r="D25" s="2" t="s">
        <v>1068</v>
      </c>
      <c r="E25" s="2" t="s">
        <v>1069</v>
      </c>
      <c r="F25" s="2" t="s">
        <v>1070</v>
      </c>
      <c r="G25" s="5" t="s">
        <v>1120</v>
      </c>
      <c r="H25" s="2" t="s">
        <v>874</v>
      </c>
      <c r="I25" s="2" t="s">
        <v>1066</v>
      </c>
      <c r="J25" s="12" t="s">
        <v>869</v>
      </c>
      <c r="K25" s="2" t="s">
        <v>1072</v>
      </c>
      <c r="L25" s="2" t="str">
        <f t="shared" si="0"/>
        <v>LTM4644</v>
      </c>
      <c r="M25" s="2" t="str">
        <f t="shared" si="2"/>
        <v>LTM4644</v>
      </c>
    </row>
    <row r="26" spans="1:13" x14ac:dyDescent="0.25">
      <c r="A26" s="2" t="s">
        <v>1083</v>
      </c>
      <c r="B26" s="2" t="s">
        <v>1084</v>
      </c>
      <c r="C26" s="2" t="s">
        <v>89</v>
      </c>
      <c r="D26" s="2" t="s">
        <v>1085</v>
      </c>
      <c r="E26" s="2" t="s">
        <v>1086</v>
      </c>
      <c r="F26" s="2" t="s">
        <v>1087</v>
      </c>
      <c r="G26" s="5" t="s">
        <v>1120</v>
      </c>
      <c r="H26" s="2" t="s">
        <v>874</v>
      </c>
      <c r="I26" s="2" t="s">
        <v>1083</v>
      </c>
      <c r="J26" s="12" t="s">
        <v>869</v>
      </c>
      <c r="K26" s="2" t="s">
        <v>1088</v>
      </c>
      <c r="L26" s="2" t="str">
        <f t="shared" si="0"/>
        <v>LTM4732</v>
      </c>
      <c r="M26" s="2" t="s">
        <v>1083</v>
      </c>
    </row>
    <row r="27" spans="1:13" x14ac:dyDescent="0.25">
      <c r="A27" s="2" t="s">
        <v>1115</v>
      </c>
      <c r="B27" s="2" t="s">
        <v>1116</v>
      </c>
      <c r="C27" s="2" t="s">
        <v>98</v>
      </c>
      <c r="D27" s="2" t="s">
        <v>1117</v>
      </c>
      <c r="E27" s="2" t="s">
        <v>1118</v>
      </c>
      <c r="F27" s="2" t="s">
        <v>1119</v>
      </c>
      <c r="G27" s="2" t="s">
        <v>1121</v>
      </c>
      <c r="H27" s="2" t="s">
        <v>1071</v>
      </c>
      <c r="I27" s="2" t="s">
        <v>1114</v>
      </c>
      <c r="J27" s="12" t="s">
        <v>869</v>
      </c>
      <c r="K27" s="2" t="s">
        <v>1117</v>
      </c>
      <c r="L27" s="2" t="str">
        <f>A27</f>
        <v>TPS7A8801RTJ</v>
      </c>
      <c r="M27" s="2" t="str">
        <f>L27</f>
        <v>TPS7A8801RTJ</v>
      </c>
    </row>
    <row r="28" spans="1:13" x14ac:dyDescent="0.25">
      <c r="A28" s="2" t="s">
        <v>1137</v>
      </c>
      <c r="B28" s="2" t="s">
        <v>1138</v>
      </c>
      <c r="C28" s="2" t="s">
        <v>98</v>
      </c>
      <c r="D28" s="2" t="s">
        <v>99</v>
      </c>
      <c r="E28" s="2" t="s">
        <v>1139</v>
      </c>
      <c r="F28" s="2">
        <v>5</v>
      </c>
      <c r="G28" s="2" t="s">
        <v>1121</v>
      </c>
      <c r="H28" s="2" t="s">
        <v>1071</v>
      </c>
      <c r="I28" s="2" t="s">
        <v>1140</v>
      </c>
      <c r="J28" s="12" t="s">
        <v>869</v>
      </c>
      <c r="K28" s="2" t="s">
        <v>99</v>
      </c>
      <c r="L28" s="2" t="str">
        <f>A28</f>
        <v>LP38690SD-5.0</v>
      </c>
      <c r="M28" s="2" t="str">
        <f>L28</f>
        <v>LP38690SD-5.0</v>
      </c>
    </row>
    <row r="29" spans="1:13" x14ac:dyDescent="0.25">
      <c r="A29" s="2" t="s">
        <v>1172</v>
      </c>
      <c r="B29" s="2" t="s">
        <v>614</v>
      </c>
      <c r="C29" s="2" t="s">
        <v>89</v>
      </c>
      <c r="D29" s="2" t="s">
        <v>615</v>
      </c>
      <c r="E29" s="2" t="s">
        <v>616</v>
      </c>
      <c r="F29" s="6" t="s">
        <v>493</v>
      </c>
      <c r="G29" s="2" t="s">
        <v>1121</v>
      </c>
      <c r="H29" s="2" t="s">
        <v>1071</v>
      </c>
      <c r="I29" s="2" t="s">
        <v>611</v>
      </c>
      <c r="J29" s="12" t="s">
        <v>869</v>
      </c>
      <c r="K29" s="2" t="s">
        <v>846</v>
      </c>
      <c r="L29" s="2" t="str">
        <f t="shared" ref="L29" si="3">A29</f>
        <v>ADP151AUJZ-1.8</v>
      </c>
      <c r="M29" s="2" t="str">
        <f t="shared" ref="M29" si="4">L29</f>
        <v>ADP151AUJZ-1.8</v>
      </c>
    </row>
    <row r="30" spans="1:13" x14ac:dyDescent="0.25">
      <c r="E30" s="17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99"/>
  <sheetViews>
    <sheetView tabSelected="1" topLeftCell="A55" zoomScale="70" zoomScaleNormal="70" workbookViewId="0">
      <selection activeCell="B108" sqref="B108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4.5" style="1" customWidth="1"/>
    <col min="4" max="4" width="9.875" style="1" customWidth="1"/>
    <col min="5" max="5" width="7.625" style="1" customWidth="1"/>
    <col min="6" max="6" width="11.25" customWidth="1"/>
    <col min="7" max="7" width="27.875" style="1" customWidth="1"/>
    <col min="8" max="8" width="11.75" style="1" customWidth="1"/>
    <col min="9" max="9" width="35.625" style="1" customWidth="1"/>
    <col min="10" max="10" width="21" style="35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17</v>
      </c>
      <c r="G1" s="12" t="s">
        <v>5</v>
      </c>
      <c r="H1" s="12" t="s">
        <v>6</v>
      </c>
      <c r="I1" s="12" t="s">
        <v>7</v>
      </c>
      <c r="J1" s="13" t="s">
        <v>8</v>
      </c>
      <c r="K1" s="21" t="s">
        <v>29</v>
      </c>
      <c r="L1" s="21" t="s">
        <v>35</v>
      </c>
    </row>
    <row r="2" spans="1:12" x14ac:dyDescent="0.25">
      <c r="A2" s="12" t="s">
        <v>132</v>
      </c>
      <c r="B2" s="3" t="s">
        <v>133</v>
      </c>
      <c r="C2" s="12" t="s">
        <v>126</v>
      </c>
      <c r="D2" s="5" t="s">
        <v>9</v>
      </c>
      <c r="E2" s="12" t="s">
        <v>134</v>
      </c>
      <c r="F2" s="22" t="s">
        <v>20</v>
      </c>
      <c r="G2" s="12" t="s">
        <v>871</v>
      </c>
      <c r="H2" s="12" t="s">
        <v>127</v>
      </c>
      <c r="I2" s="12" t="s">
        <v>870</v>
      </c>
      <c r="J2" s="13" t="str">
        <f>_xlfn.CONCAT("R",D2)</f>
        <v>R0402</v>
      </c>
      <c r="K2" s="13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2" t="str">
        <f t="shared" ref="L2:L34" si="1">K2</f>
        <v>R-0402-0R F</v>
      </c>
    </row>
    <row r="3" spans="1:12" x14ac:dyDescent="0.25">
      <c r="A3" s="12" t="s">
        <v>264</v>
      </c>
      <c r="B3" s="3" t="s">
        <v>265</v>
      </c>
      <c r="C3" s="12" t="s">
        <v>126</v>
      </c>
      <c r="D3" s="12" t="s">
        <v>12</v>
      </c>
      <c r="E3" s="12" t="s">
        <v>134</v>
      </c>
      <c r="F3" s="22" t="s">
        <v>20</v>
      </c>
      <c r="G3" s="12" t="s">
        <v>871</v>
      </c>
      <c r="H3" s="12" t="s">
        <v>127</v>
      </c>
      <c r="I3" s="12" t="s">
        <v>870</v>
      </c>
      <c r="J3" s="13" t="str">
        <f>_xlfn.CONCAT("R",D3)</f>
        <v>R0805</v>
      </c>
      <c r="K3" s="13" t="str">
        <f t="shared" si="0"/>
        <v>R-0805-0R F</v>
      </c>
      <c r="L3" s="12" t="str">
        <f t="shared" si="1"/>
        <v>R-0805-0R F</v>
      </c>
    </row>
    <row r="4" spans="1:12" x14ac:dyDescent="0.25">
      <c r="A4" s="12" t="s">
        <v>349</v>
      </c>
      <c r="B4" s="3" t="s">
        <v>364</v>
      </c>
      <c r="C4" s="12" t="s">
        <v>126</v>
      </c>
      <c r="D4" s="5" t="s">
        <v>9</v>
      </c>
      <c r="E4" s="12" t="s">
        <v>350</v>
      </c>
      <c r="F4" s="22" t="s">
        <v>20</v>
      </c>
      <c r="G4" s="12" t="s">
        <v>871</v>
      </c>
      <c r="H4" s="12" t="s">
        <v>127</v>
      </c>
      <c r="I4" s="12" t="s">
        <v>870</v>
      </c>
      <c r="J4" s="13" t="str">
        <f t="shared" ref="J4:J67" si="2">_xlfn.CONCAT("R",D4)</f>
        <v>R0402</v>
      </c>
      <c r="K4" s="13" t="str">
        <f t="shared" si="0"/>
        <v>R-0402-100K F</v>
      </c>
      <c r="L4" s="12" t="str">
        <f t="shared" si="1"/>
        <v>R-0402-100K F</v>
      </c>
    </row>
    <row r="5" spans="1:12" x14ac:dyDescent="0.25">
      <c r="A5" s="12" t="s">
        <v>326</v>
      </c>
      <c r="B5" s="3" t="s">
        <v>327</v>
      </c>
      <c r="C5" s="12" t="s">
        <v>126</v>
      </c>
      <c r="D5" s="5" t="s">
        <v>9</v>
      </c>
      <c r="E5" s="12" t="s">
        <v>328</v>
      </c>
      <c r="F5" s="22" t="s">
        <v>20</v>
      </c>
      <c r="G5" s="12" t="s">
        <v>871</v>
      </c>
      <c r="H5" s="12" t="s">
        <v>127</v>
      </c>
      <c r="I5" s="12" t="s">
        <v>870</v>
      </c>
      <c r="J5" s="13" t="str">
        <f t="shared" si="2"/>
        <v>R0402</v>
      </c>
      <c r="K5" s="13" t="str">
        <f t="shared" si="0"/>
        <v>R-0402-100R F</v>
      </c>
      <c r="L5" s="12" t="str">
        <f t="shared" si="1"/>
        <v>R-0402-100R F</v>
      </c>
    </row>
    <row r="6" spans="1:12" x14ac:dyDescent="0.25">
      <c r="A6" s="12" t="s">
        <v>129</v>
      </c>
      <c r="B6" s="3" t="s">
        <v>130</v>
      </c>
      <c r="C6" s="12" t="s">
        <v>126</v>
      </c>
      <c r="D6" s="5" t="s">
        <v>9</v>
      </c>
      <c r="E6" s="12" t="s">
        <v>131</v>
      </c>
      <c r="F6" s="22" t="s">
        <v>20</v>
      </c>
      <c r="G6" s="12" t="s">
        <v>871</v>
      </c>
      <c r="H6" s="12" t="s">
        <v>127</v>
      </c>
      <c r="I6" s="12" t="s">
        <v>870</v>
      </c>
      <c r="J6" s="13" t="str">
        <f t="shared" si="2"/>
        <v>R0402</v>
      </c>
      <c r="K6" s="13" t="str">
        <f t="shared" si="0"/>
        <v>R-0402-10K F</v>
      </c>
      <c r="L6" s="12" t="str">
        <f t="shared" si="1"/>
        <v>R-0402-10K F</v>
      </c>
    </row>
    <row r="7" spans="1:12" x14ac:dyDescent="0.25">
      <c r="A7" s="12" t="s">
        <v>154</v>
      </c>
      <c r="B7" s="12" t="s">
        <v>719</v>
      </c>
      <c r="C7" s="12" t="s">
        <v>126</v>
      </c>
      <c r="D7" s="12" t="s">
        <v>9</v>
      </c>
      <c r="E7" s="12" t="s">
        <v>155</v>
      </c>
      <c r="F7" s="22" t="s">
        <v>20</v>
      </c>
      <c r="G7" s="12" t="s">
        <v>871</v>
      </c>
      <c r="H7" s="12" t="s">
        <v>127</v>
      </c>
      <c r="I7" s="12" t="s">
        <v>870</v>
      </c>
      <c r="J7" s="13" t="str">
        <f t="shared" si="2"/>
        <v>R0402</v>
      </c>
      <c r="K7" s="13" t="str">
        <f t="shared" si="0"/>
        <v>R-0402-10K2 F</v>
      </c>
      <c r="L7" s="12" t="str">
        <f t="shared" si="1"/>
        <v>R-0402-10K2 F</v>
      </c>
    </row>
    <row r="8" spans="1:12" x14ac:dyDescent="0.25">
      <c r="A8" s="12" t="s">
        <v>152</v>
      </c>
      <c r="B8" s="12" t="s">
        <v>720</v>
      </c>
      <c r="C8" s="12" t="s">
        <v>126</v>
      </c>
      <c r="D8" s="5" t="s">
        <v>9</v>
      </c>
      <c r="E8" s="12" t="s">
        <v>153</v>
      </c>
      <c r="F8" s="22" t="s">
        <v>20</v>
      </c>
      <c r="G8" s="12" t="s">
        <v>871</v>
      </c>
      <c r="H8" s="12" t="s">
        <v>127</v>
      </c>
      <c r="I8" s="12" t="s">
        <v>870</v>
      </c>
      <c r="J8" s="13" t="str">
        <f t="shared" si="2"/>
        <v>R0402</v>
      </c>
      <c r="K8" s="13" t="str">
        <f t="shared" si="0"/>
        <v>R-0402-10K7 F</v>
      </c>
      <c r="L8" s="12" t="str">
        <f t="shared" si="1"/>
        <v>R-0402-10K7 F</v>
      </c>
    </row>
    <row r="9" spans="1:12" x14ac:dyDescent="0.25">
      <c r="A9" s="12" t="s">
        <v>414</v>
      </c>
      <c r="B9" s="12" t="s">
        <v>553</v>
      </c>
      <c r="C9" s="12" t="s">
        <v>126</v>
      </c>
      <c r="D9" s="12" t="s">
        <v>9</v>
      </c>
      <c r="E9" s="12" t="s">
        <v>415</v>
      </c>
      <c r="F9" s="22" t="s">
        <v>20</v>
      </c>
      <c r="G9" s="12" t="s">
        <v>871</v>
      </c>
      <c r="H9" s="12" t="s">
        <v>127</v>
      </c>
      <c r="I9" s="12" t="s">
        <v>870</v>
      </c>
      <c r="J9" s="13" t="str">
        <f t="shared" si="2"/>
        <v>R0402</v>
      </c>
      <c r="K9" s="13" t="str">
        <f t="shared" si="0"/>
        <v>R-0402-15K F</v>
      </c>
      <c r="L9" s="12" t="str">
        <f t="shared" si="1"/>
        <v>R-0402-15K F</v>
      </c>
    </row>
    <row r="10" spans="1:12" x14ac:dyDescent="0.25">
      <c r="A10" s="12" t="s">
        <v>363</v>
      </c>
      <c r="B10" s="3" t="s">
        <v>365</v>
      </c>
      <c r="C10" s="12" t="s">
        <v>126</v>
      </c>
      <c r="D10" s="5" t="s">
        <v>9</v>
      </c>
      <c r="E10" s="12" t="s">
        <v>366</v>
      </c>
      <c r="F10" s="22" t="s">
        <v>20</v>
      </c>
      <c r="G10" s="12" t="s">
        <v>871</v>
      </c>
      <c r="H10" s="12" t="s">
        <v>127</v>
      </c>
      <c r="I10" s="12" t="s">
        <v>870</v>
      </c>
      <c r="J10" s="13" t="str">
        <f t="shared" si="2"/>
        <v>R0402</v>
      </c>
      <c r="K10" s="13" t="str">
        <f t="shared" si="0"/>
        <v>R-0402-160K F</v>
      </c>
      <c r="L10" s="12" t="str">
        <f t="shared" si="1"/>
        <v>R-0402-160K F</v>
      </c>
    </row>
    <row r="11" spans="1:12" x14ac:dyDescent="0.25">
      <c r="A11" s="12" t="s">
        <v>190</v>
      </c>
      <c r="B11" s="12" t="s">
        <v>723</v>
      </c>
      <c r="C11" s="12" t="s">
        <v>126</v>
      </c>
      <c r="D11" s="12" t="s">
        <v>9</v>
      </c>
      <c r="E11" s="12" t="s">
        <v>191</v>
      </c>
      <c r="F11" s="22" t="s">
        <v>20</v>
      </c>
      <c r="G11" s="12" t="s">
        <v>871</v>
      </c>
      <c r="H11" s="12" t="s">
        <v>127</v>
      </c>
      <c r="I11" s="12" t="s">
        <v>870</v>
      </c>
      <c r="J11" s="13" t="str">
        <f t="shared" si="2"/>
        <v>R0402</v>
      </c>
      <c r="K11" s="13" t="str">
        <f t="shared" si="0"/>
        <v>R-0402-17K8 F</v>
      </c>
      <c r="L11" s="12" t="str">
        <f t="shared" si="1"/>
        <v>R-0402-17K8 F</v>
      </c>
    </row>
    <row r="12" spans="1:12" x14ac:dyDescent="0.25">
      <c r="A12" s="12" t="s">
        <v>302</v>
      </c>
      <c r="B12" s="3" t="s">
        <v>722</v>
      </c>
      <c r="C12" s="12" t="s">
        <v>126</v>
      </c>
      <c r="D12" s="5" t="s">
        <v>9</v>
      </c>
      <c r="E12" s="12" t="s">
        <v>303</v>
      </c>
      <c r="F12" s="22" t="s">
        <v>20</v>
      </c>
      <c r="G12" s="12" t="s">
        <v>871</v>
      </c>
      <c r="H12" s="12" t="s">
        <v>127</v>
      </c>
      <c r="I12" s="12" t="s">
        <v>870</v>
      </c>
      <c r="J12" s="13" t="str">
        <f t="shared" si="2"/>
        <v>R0402</v>
      </c>
      <c r="K12" s="13" t="str">
        <f t="shared" si="0"/>
        <v>R-0402-18R2 F</v>
      </c>
      <c r="L12" s="12" t="str">
        <f t="shared" si="1"/>
        <v>R-0402-18R2 F</v>
      </c>
    </row>
    <row r="13" spans="1:12" x14ac:dyDescent="0.25">
      <c r="A13" s="12" t="s">
        <v>266</v>
      </c>
      <c r="B13" s="3" t="s">
        <v>267</v>
      </c>
      <c r="C13" s="12" t="s">
        <v>126</v>
      </c>
      <c r="D13" s="5" t="s">
        <v>9</v>
      </c>
      <c r="E13" s="12" t="s">
        <v>268</v>
      </c>
      <c r="F13" s="22" t="s">
        <v>20</v>
      </c>
      <c r="G13" s="12" t="s">
        <v>871</v>
      </c>
      <c r="H13" s="12" t="s">
        <v>127</v>
      </c>
      <c r="I13" s="12" t="s">
        <v>870</v>
      </c>
      <c r="J13" s="13" t="str">
        <f t="shared" si="2"/>
        <v>R0402</v>
      </c>
      <c r="K13" s="13" t="str">
        <f t="shared" si="0"/>
        <v>R-0402-1K F</v>
      </c>
      <c r="L13" s="12" t="str">
        <f t="shared" si="1"/>
        <v>R-0402-1K F</v>
      </c>
    </row>
    <row r="14" spans="1:12" x14ac:dyDescent="0.25">
      <c r="A14" s="12" t="s">
        <v>156</v>
      </c>
      <c r="B14" s="12" t="s">
        <v>718</v>
      </c>
      <c r="C14" s="12" t="s">
        <v>126</v>
      </c>
      <c r="D14" s="12" t="s">
        <v>9</v>
      </c>
      <c r="E14" s="12" t="s">
        <v>157</v>
      </c>
      <c r="F14" s="22" t="s">
        <v>20</v>
      </c>
      <c r="G14" s="12" t="s">
        <v>871</v>
      </c>
      <c r="H14" s="12" t="s">
        <v>127</v>
      </c>
      <c r="I14" s="12" t="s">
        <v>870</v>
      </c>
      <c r="J14" s="13" t="str">
        <f t="shared" si="2"/>
        <v>R0402</v>
      </c>
      <c r="K14" s="13" t="str">
        <f t="shared" si="0"/>
        <v>R-0402-1K05 F</v>
      </c>
      <c r="L14" s="12" t="str">
        <f t="shared" si="1"/>
        <v>R-0402-1K05 F</v>
      </c>
    </row>
    <row r="15" spans="1:12" x14ac:dyDescent="0.25">
      <c r="A15" s="12" t="s">
        <v>139</v>
      </c>
      <c r="B15" s="12" t="s">
        <v>717</v>
      </c>
      <c r="C15" s="12" t="s">
        <v>126</v>
      </c>
      <c r="D15" s="5" t="s">
        <v>9</v>
      </c>
      <c r="E15" s="12" t="s">
        <v>140</v>
      </c>
      <c r="F15" s="22" t="s">
        <v>20</v>
      </c>
      <c r="G15" s="12" t="s">
        <v>871</v>
      </c>
      <c r="H15" s="12" t="s">
        <v>127</v>
      </c>
      <c r="I15" s="12" t="s">
        <v>870</v>
      </c>
      <c r="J15" s="13" t="str">
        <f t="shared" si="2"/>
        <v>R0402</v>
      </c>
      <c r="K15" s="13" t="str">
        <f t="shared" si="0"/>
        <v>R-0402-1K5 F</v>
      </c>
      <c r="L15" s="12" t="str">
        <f t="shared" si="1"/>
        <v>R-0402-1K5 F</v>
      </c>
    </row>
    <row r="16" spans="1:12" x14ac:dyDescent="0.25">
      <c r="A16" s="12" t="s">
        <v>420</v>
      </c>
      <c r="B16" s="12" t="s">
        <v>345</v>
      </c>
      <c r="C16" s="12" t="s">
        <v>126</v>
      </c>
      <c r="D16" s="5" t="s">
        <v>9</v>
      </c>
      <c r="E16" s="12" t="s">
        <v>476</v>
      </c>
      <c r="F16" s="22" t="s">
        <v>20</v>
      </c>
      <c r="G16" s="12" t="s">
        <v>871</v>
      </c>
      <c r="H16" s="12" t="s">
        <v>127</v>
      </c>
      <c r="I16" s="12" t="s">
        <v>870</v>
      </c>
      <c r="J16" s="13" t="str">
        <f t="shared" si="2"/>
        <v>R0402</v>
      </c>
      <c r="K16" s="13" t="str">
        <f t="shared" si="0"/>
        <v>R-0402-200K F</v>
      </c>
      <c r="L16" s="12" t="str">
        <f t="shared" si="1"/>
        <v>R-0402-200K F</v>
      </c>
    </row>
    <row r="17" spans="1:12" x14ac:dyDescent="0.25">
      <c r="A17" s="12" t="s">
        <v>344</v>
      </c>
      <c r="B17" s="12" t="s">
        <v>345</v>
      </c>
      <c r="C17" s="12" t="s">
        <v>126</v>
      </c>
      <c r="D17" s="5" t="s">
        <v>9</v>
      </c>
      <c r="E17" s="12" t="s">
        <v>475</v>
      </c>
      <c r="F17" s="22" t="s">
        <v>20</v>
      </c>
      <c r="G17" s="12" t="s">
        <v>871</v>
      </c>
      <c r="H17" s="12" t="s">
        <v>127</v>
      </c>
      <c r="I17" s="12" t="s">
        <v>870</v>
      </c>
      <c r="J17" s="13" t="str">
        <f t="shared" si="2"/>
        <v>R0402</v>
      </c>
      <c r="K17" s="13" t="str">
        <f t="shared" si="0"/>
        <v>R-0402-220K F</v>
      </c>
      <c r="L17" s="12" t="str">
        <f t="shared" si="1"/>
        <v>R-0402-220K F</v>
      </c>
    </row>
    <row r="18" spans="1:12" x14ac:dyDescent="0.25">
      <c r="A18" s="12" t="s">
        <v>225</v>
      </c>
      <c r="B18" s="12" t="s">
        <v>716</v>
      </c>
      <c r="C18" s="12" t="s">
        <v>126</v>
      </c>
      <c r="D18" s="12" t="s">
        <v>9</v>
      </c>
      <c r="E18" s="12" t="s">
        <v>226</v>
      </c>
      <c r="F18" s="22" t="s">
        <v>20</v>
      </c>
      <c r="G18" s="12" t="s">
        <v>871</v>
      </c>
      <c r="H18" s="12" t="s">
        <v>127</v>
      </c>
      <c r="I18" s="12" t="s">
        <v>870</v>
      </c>
      <c r="J18" s="13" t="str">
        <f t="shared" si="2"/>
        <v>R0402</v>
      </c>
      <c r="K18" s="13" t="str">
        <f t="shared" si="0"/>
        <v>R-0402-24R9 F</v>
      </c>
      <c r="L18" s="12" t="str">
        <f t="shared" si="1"/>
        <v>R-0402-24R9 F</v>
      </c>
    </row>
    <row r="19" spans="1:12" x14ac:dyDescent="0.25">
      <c r="A19" s="12" t="s">
        <v>346</v>
      </c>
      <c r="B19" s="12" t="s">
        <v>347</v>
      </c>
      <c r="C19" s="12" t="s">
        <v>126</v>
      </c>
      <c r="D19" s="5" t="s">
        <v>9</v>
      </c>
      <c r="E19" s="12" t="s">
        <v>348</v>
      </c>
      <c r="F19" s="22" t="s">
        <v>20</v>
      </c>
      <c r="G19" s="12" t="s">
        <v>871</v>
      </c>
      <c r="H19" s="12" t="s">
        <v>127</v>
      </c>
      <c r="I19" s="12" t="s">
        <v>870</v>
      </c>
      <c r="J19" s="13" t="str">
        <f t="shared" si="2"/>
        <v>R0402</v>
      </c>
      <c r="K19" s="13" t="str">
        <f t="shared" si="0"/>
        <v>R-0402-2K F</v>
      </c>
      <c r="L19" s="12" t="str">
        <f t="shared" si="1"/>
        <v>R-0402-2K F</v>
      </c>
    </row>
    <row r="20" spans="1:12" x14ac:dyDescent="0.25">
      <c r="A20" s="12" t="s">
        <v>202</v>
      </c>
      <c r="B20" s="12" t="s">
        <v>715</v>
      </c>
      <c r="C20" s="12" t="s">
        <v>126</v>
      </c>
      <c r="D20" s="5" t="s">
        <v>9</v>
      </c>
      <c r="E20" s="12" t="s">
        <v>138</v>
      </c>
      <c r="F20" s="22" t="s">
        <v>20</v>
      </c>
      <c r="G20" s="12" t="s">
        <v>871</v>
      </c>
      <c r="H20" s="12" t="s">
        <v>127</v>
      </c>
      <c r="I20" s="12" t="s">
        <v>870</v>
      </c>
      <c r="J20" s="13" t="str">
        <f t="shared" si="2"/>
        <v>R0402</v>
      </c>
      <c r="K20" s="13" t="str">
        <f t="shared" si="0"/>
        <v>R-0402-31K6 F</v>
      </c>
      <c r="L20" s="12" t="str">
        <f t="shared" si="1"/>
        <v>R-0402-31K6 F</v>
      </c>
    </row>
    <row r="21" spans="1:12" x14ac:dyDescent="0.25">
      <c r="A21" s="12" t="s">
        <v>298</v>
      </c>
      <c r="B21" s="3" t="s">
        <v>299</v>
      </c>
      <c r="C21" s="12" t="s">
        <v>126</v>
      </c>
      <c r="D21" s="5" t="s">
        <v>9</v>
      </c>
      <c r="E21" s="12" t="s">
        <v>301</v>
      </c>
      <c r="F21" s="22" t="s">
        <v>20</v>
      </c>
      <c r="G21" s="12" t="s">
        <v>871</v>
      </c>
      <c r="H21" s="12" t="s">
        <v>127</v>
      </c>
      <c r="I21" s="12" t="s">
        <v>870</v>
      </c>
      <c r="J21" s="13" t="str">
        <f t="shared" si="2"/>
        <v>R0402</v>
      </c>
      <c r="K21" s="13" t="str">
        <f t="shared" si="0"/>
        <v>R-0402-33R F</v>
      </c>
      <c r="L21" s="12" t="str">
        <f t="shared" si="1"/>
        <v>R-0402-33R F</v>
      </c>
    </row>
    <row r="22" spans="1:12" x14ac:dyDescent="0.25">
      <c r="A22" s="12" t="s">
        <v>135</v>
      </c>
      <c r="B22" s="12" t="s">
        <v>136</v>
      </c>
      <c r="C22" s="12" t="s">
        <v>126</v>
      </c>
      <c r="D22" s="5" t="s">
        <v>9</v>
      </c>
      <c r="E22" s="12" t="s">
        <v>137</v>
      </c>
      <c r="F22" s="22" t="s">
        <v>20</v>
      </c>
      <c r="G22" s="12" t="s">
        <v>871</v>
      </c>
      <c r="H22" s="12" t="s">
        <v>127</v>
      </c>
      <c r="I22" s="12" t="s">
        <v>870</v>
      </c>
      <c r="J22" s="13" t="str">
        <f t="shared" si="2"/>
        <v>R0402</v>
      </c>
      <c r="K22" s="13" t="str">
        <f t="shared" si="0"/>
        <v>R-0402-3K F</v>
      </c>
      <c r="L22" s="12" t="str">
        <f t="shared" si="1"/>
        <v>R-0402-3K F</v>
      </c>
    </row>
    <row r="23" spans="1:12" x14ac:dyDescent="0.25">
      <c r="A23" s="12" t="s">
        <v>471</v>
      </c>
      <c r="B23" s="3" t="s">
        <v>945</v>
      </c>
      <c r="C23" s="12" t="s">
        <v>126</v>
      </c>
      <c r="D23" s="5" t="s">
        <v>9</v>
      </c>
      <c r="E23" s="12" t="s">
        <v>472</v>
      </c>
      <c r="F23" s="22" t="s">
        <v>20</v>
      </c>
      <c r="G23" s="12" t="s">
        <v>871</v>
      </c>
      <c r="H23" s="12" t="s">
        <v>127</v>
      </c>
      <c r="I23" s="12" t="s">
        <v>870</v>
      </c>
      <c r="J23" s="13" t="str">
        <f t="shared" si="2"/>
        <v>R0402</v>
      </c>
      <c r="K23" s="13" t="str">
        <f t="shared" si="0"/>
        <v>R-0402-3K9 F</v>
      </c>
      <c r="L23" s="12" t="str">
        <f t="shared" si="1"/>
        <v>R-0402-3K9 F</v>
      </c>
    </row>
    <row r="24" spans="1:12" x14ac:dyDescent="0.25">
      <c r="A24" s="12" t="s">
        <v>754</v>
      </c>
      <c r="B24" s="12" t="s">
        <v>753</v>
      </c>
      <c r="C24" s="12" t="s">
        <v>126</v>
      </c>
      <c r="D24" s="5" t="s">
        <v>9</v>
      </c>
      <c r="E24" s="12" t="s">
        <v>752</v>
      </c>
      <c r="F24" s="22" t="s">
        <v>20</v>
      </c>
      <c r="G24" s="12" t="s">
        <v>871</v>
      </c>
      <c r="H24" s="12" t="s">
        <v>127</v>
      </c>
      <c r="I24" s="12" t="s">
        <v>870</v>
      </c>
      <c r="J24" s="13" t="str">
        <f t="shared" si="2"/>
        <v>R0402</v>
      </c>
      <c r="K24" s="13" t="str">
        <f t="shared" si="0"/>
        <v>R-0402-40K2 F</v>
      </c>
      <c r="L24" s="12" t="str">
        <f t="shared" si="1"/>
        <v>R-0402-40K2 F</v>
      </c>
    </row>
    <row r="25" spans="1:12" x14ac:dyDescent="0.25">
      <c r="A25" s="12" t="s">
        <v>141</v>
      </c>
      <c r="B25" s="12" t="s">
        <v>714</v>
      </c>
      <c r="C25" s="12" t="s">
        <v>126</v>
      </c>
      <c r="D25" s="5" t="s">
        <v>9</v>
      </c>
      <c r="E25" s="12" t="s">
        <v>142</v>
      </c>
      <c r="F25" s="22" t="s">
        <v>20</v>
      </c>
      <c r="G25" s="12" t="s">
        <v>871</v>
      </c>
      <c r="H25" s="12" t="s">
        <v>127</v>
      </c>
      <c r="I25" s="12" t="s">
        <v>870</v>
      </c>
      <c r="J25" s="13" t="str">
        <f t="shared" si="2"/>
        <v>R0402</v>
      </c>
      <c r="K25" s="13" t="str">
        <f t="shared" si="0"/>
        <v>R-0402-47K5 F</v>
      </c>
      <c r="L25" s="12" t="str">
        <f t="shared" si="1"/>
        <v>R-0402-47K5 F</v>
      </c>
    </row>
    <row r="26" spans="1:12" x14ac:dyDescent="0.25">
      <c r="A26" s="12" t="s">
        <v>837</v>
      </c>
      <c r="B26" s="12" t="s">
        <v>838</v>
      </c>
      <c r="C26" s="12" t="s">
        <v>126</v>
      </c>
      <c r="D26" s="5" t="s">
        <v>9</v>
      </c>
      <c r="E26" s="12" t="s">
        <v>839</v>
      </c>
      <c r="F26" s="22" t="s">
        <v>20</v>
      </c>
      <c r="G26" s="12" t="s">
        <v>871</v>
      </c>
      <c r="H26" s="12" t="s">
        <v>127</v>
      </c>
      <c r="I26" s="12" t="s">
        <v>870</v>
      </c>
      <c r="J26" s="13" t="str">
        <f t="shared" si="2"/>
        <v>R0402</v>
      </c>
      <c r="K26" s="13" t="str">
        <f t="shared" si="0"/>
        <v>R-0402-499K F</v>
      </c>
      <c r="L26" s="12" t="str">
        <f t="shared" si="1"/>
        <v>R-0402-499K F</v>
      </c>
    </row>
    <row r="27" spans="1:12" x14ac:dyDescent="0.25">
      <c r="A27" s="12" t="s">
        <v>296</v>
      </c>
      <c r="B27" s="3" t="s">
        <v>297</v>
      </c>
      <c r="C27" s="12" t="s">
        <v>126</v>
      </c>
      <c r="D27" s="5" t="s">
        <v>9</v>
      </c>
      <c r="E27" s="12" t="s">
        <v>300</v>
      </c>
      <c r="F27" s="22" t="s">
        <v>20</v>
      </c>
      <c r="G27" s="12" t="s">
        <v>871</v>
      </c>
      <c r="H27" s="12" t="s">
        <v>127</v>
      </c>
      <c r="I27" s="12" t="s">
        <v>870</v>
      </c>
      <c r="J27" s="13" t="str">
        <f t="shared" si="2"/>
        <v>R0402</v>
      </c>
      <c r="K27" s="13" t="str">
        <f t="shared" si="0"/>
        <v>R-0402-50R F</v>
      </c>
      <c r="L27" s="12" t="str">
        <f t="shared" si="1"/>
        <v>R-0402-50R F</v>
      </c>
    </row>
    <row r="28" spans="1:12" x14ac:dyDescent="0.25">
      <c r="A28" s="12" t="s">
        <v>474</v>
      </c>
      <c r="B28" s="3" t="s">
        <v>327</v>
      </c>
      <c r="C28" s="12" t="s">
        <v>126</v>
      </c>
      <c r="D28" s="5" t="s">
        <v>9</v>
      </c>
      <c r="E28" s="12" t="s">
        <v>473</v>
      </c>
      <c r="F28" s="22" t="s">
        <v>20</v>
      </c>
      <c r="G28" s="12" t="s">
        <v>871</v>
      </c>
      <c r="H28" s="12" t="s">
        <v>127</v>
      </c>
      <c r="I28" s="12" t="s">
        <v>870</v>
      </c>
      <c r="J28" s="13" t="str">
        <f t="shared" si="2"/>
        <v>R0402</v>
      </c>
      <c r="K28" s="13" t="str">
        <f t="shared" si="0"/>
        <v>R-0402-560R F</v>
      </c>
      <c r="L28" s="12" t="str">
        <f t="shared" si="1"/>
        <v>R-0402-560R F</v>
      </c>
    </row>
    <row r="29" spans="1:12" x14ac:dyDescent="0.25">
      <c r="A29" s="12" t="s">
        <v>124</v>
      </c>
      <c r="B29" s="3" t="s">
        <v>125</v>
      </c>
      <c r="C29" s="12" t="s">
        <v>126</v>
      </c>
      <c r="D29" s="5" t="s">
        <v>9</v>
      </c>
      <c r="E29" s="2" t="s">
        <v>128</v>
      </c>
      <c r="F29" s="22" t="s">
        <v>20</v>
      </c>
      <c r="G29" s="12" t="s">
        <v>871</v>
      </c>
      <c r="H29" s="12" t="s">
        <v>127</v>
      </c>
      <c r="I29" s="12" t="s">
        <v>870</v>
      </c>
      <c r="J29" s="13" t="str">
        <f t="shared" si="2"/>
        <v>R0402</v>
      </c>
      <c r="K29" s="13" t="str">
        <f t="shared" si="0"/>
        <v>R-0402-56K F</v>
      </c>
      <c r="L29" s="12" t="str">
        <f t="shared" si="1"/>
        <v>R-0402-56K F</v>
      </c>
    </row>
    <row r="30" spans="1:12" x14ac:dyDescent="0.25">
      <c r="A30" s="12" t="s">
        <v>744</v>
      </c>
      <c r="B30" s="3" t="s">
        <v>745</v>
      </c>
      <c r="C30" s="12" t="s">
        <v>126</v>
      </c>
      <c r="D30" s="5" t="s">
        <v>9</v>
      </c>
      <c r="E30" s="12" t="s">
        <v>743</v>
      </c>
      <c r="F30" s="22" t="s">
        <v>20</v>
      </c>
      <c r="G30" s="12" t="s">
        <v>871</v>
      </c>
      <c r="H30" s="12" t="s">
        <v>127</v>
      </c>
      <c r="I30" s="12" t="s">
        <v>870</v>
      </c>
      <c r="J30" s="13" t="str">
        <f t="shared" si="2"/>
        <v>R0402</v>
      </c>
      <c r="K30" s="13" t="str">
        <f t="shared" si="0"/>
        <v>R-0402-4K99 F</v>
      </c>
      <c r="L30" s="12" t="str">
        <f t="shared" si="1"/>
        <v>R-0402-4K99 F</v>
      </c>
    </row>
    <row r="31" spans="1:12" x14ac:dyDescent="0.25">
      <c r="A31" s="12" t="s">
        <v>304</v>
      </c>
      <c r="B31" s="3" t="s">
        <v>721</v>
      </c>
      <c r="C31" s="12" t="s">
        <v>126</v>
      </c>
      <c r="D31" s="5" t="s">
        <v>9</v>
      </c>
      <c r="E31" s="12" t="s">
        <v>305</v>
      </c>
      <c r="F31" s="22" t="s">
        <v>20</v>
      </c>
      <c r="G31" s="12" t="s">
        <v>871</v>
      </c>
      <c r="H31" s="12" t="s">
        <v>127</v>
      </c>
      <c r="I31" s="12" t="s">
        <v>870</v>
      </c>
      <c r="J31" s="13" t="str">
        <f t="shared" si="2"/>
        <v>R0402</v>
      </c>
      <c r="K31" s="13" t="str">
        <f t="shared" si="0"/>
        <v>R-0402-68R1 F</v>
      </c>
      <c r="L31" s="12" t="str">
        <f t="shared" si="1"/>
        <v>R-0402-68R1 F</v>
      </c>
    </row>
    <row r="32" spans="1:12" x14ac:dyDescent="0.25">
      <c r="A32" s="12" t="s">
        <v>751</v>
      </c>
      <c r="B32" s="12" t="s">
        <v>750</v>
      </c>
      <c r="C32" s="12" t="s">
        <v>126</v>
      </c>
      <c r="D32" s="5" t="s">
        <v>9</v>
      </c>
      <c r="E32" s="12" t="s">
        <v>749</v>
      </c>
      <c r="F32" s="22" t="s">
        <v>20</v>
      </c>
      <c r="G32" s="12" t="s">
        <v>871</v>
      </c>
      <c r="H32" s="12" t="s">
        <v>127</v>
      </c>
      <c r="I32" s="12" t="s">
        <v>870</v>
      </c>
      <c r="J32" s="13" t="str">
        <f t="shared" si="2"/>
        <v>R0402</v>
      </c>
      <c r="K32" s="13" t="str">
        <f t="shared" si="0"/>
        <v>R-0402-6K81 F</v>
      </c>
      <c r="L32" s="12" t="str">
        <f t="shared" si="1"/>
        <v>R-0402-6K81 F</v>
      </c>
    </row>
    <row r="33" spans="1:12" x14ac:dyDescent="0.25">
      <c r="A33" s="12" t="s">
        <v>421</v>
      </c>
      <c r="B33" s="12" t="s">
        <v>724</v>
      </c>
      <c r="C33" s="12" t="s">
        <v>126</v>
      </c>
      <c r="D33" s="12" t="s">
        <v>9</v>
      </c>
      <c r="E33" s="12" t="s">
        <v>422</v>
      </c>
      <c r="F33" s="22" t="s">
        <v>20</v>
      </c>
      <c r="G33" s="12" t="s">
        <v>871</v>
      </c>
      <c r="H33" s="12" t="s">
        <v>127</v>
      </c>
      <c r="I33" s="12" t="s">
        <v>870</v>
      </c>
      <c r="J33" s="13" t="str">
        <f t="shared" si="2"/>
        <v>R0402</v>
      </c>
      <c r="K33" s="13" t="str">
        <f t="shared" si="0"/>
        <v>R-0402-8K66 F</v>
      </c>
      <c r="L33" s="12" t="str">
        <f t="shared" si="1"/>
        <v>R-0402-8K66 F</v>
      </c>
    </row>
    <row r="34" spans="1:12" x14ac:dyDescent="0.25">
      <c r="A34" s="12" t="s">
        <v>477</v>
      </c>
      <c r="B34" s="12" t="s">
        <v>519</v>
      </c>
      <c r="C34" s="12" t="s">
        <v>126</v>
      </c>
      <c r="D34" s="5" t="s">
        <v>9</v>
      </c>
      <c r="E34" s="12" t="s">
        <v>478</v>
      </c>
      <c r="F34" s="22" t="s">
        <v>20</v>
      </c>
      <c r="G34" s="12" t="s">
        <v>871</v>
      </c>
      <c r="H34" s="12" t="s">
        <v>127</v>
      </c>
      <c r="I34" s="12" t="s">
        <v>870</v>
      </c>
      <c r="J34" s="13" t="str">
        <f t="shared" si="2"/>
        <v>R0402</v>
      </c>
      <c r="K34" s="13" t="str">
        <f t="shared" si="0"/>
        <v>R-0402-66K5 F</v>
      </c>
      <c r="L34" s="12" t="str">
        <f t="shared" si="1"/>
        <v>R-0402-66K5 F</v>
      </c>
    </row>
    <row r="35" spans="1:12" x14ac:dyDescent="0.25">
      <c r="A35" s="12" t="s">
        <v>748</v>
      </c>
      <c r="B35" s="12" t="s">
        <v>747</v>
      </c>
      <c r="C35" s="12" t="s">
        <v>126</v>
      </c>
      <c r="D35" s="5" t="s">
        <v>9</v>
      </c>
      <c r="E35" s="12" t="s">
        <v>746</v>
      </c>
      <c r="F35" s="22" t="s">
        <v>20</v>
      </c>
      <c r="G35" s="12" t="s">
        <v>871</v>
      </c>
      <c r="H35" s="12" t="s">
        <v>127</v>
      </c>
      <c r="I35" s="12" t="s">
        <v>870</v>
      </c>
      <c r="J35" s="13" t="str">
        <f t="shared" si="2"/>
        <v>R0402</v>
      </c>
      <c r="K35" s="13" t="str">
        <f t="shared" ref="K35" si="3">_xlfn.CONCAT("R-", D35,"-",E35," ",_xlfn.IFS(F35 ="±0,1", "B", F35 = "±0,25", "C", F35 = "±0,5", "D", F35 = "±1%", "F",F35="±2%","G",F35="±5%", "J", F35="±10%", "K", F35="±20%", "M"))</f>
        <v>R-0402-18K2 F</v>
      </c>
      <c r="L35" s="12" t="str">
        <f t="shared" ref="L35" si="4">K35</f>
        <v>R-0402-18K2 F</v>
      </c>
    </row>
    <row r="36" spans="1:12" x14ac:dyDescent="0.25">
      <c r="A36" s="12" t="s">
        <v>525</v>
      </c>
      <c r="B36" s="12" t="s">
        <v>526</v>
      </c>
      <c r="C36" s="12" t="s">
        <v>126</v>
      </c>
      <c r="D36" s="5" t="s">
        <v>9</v>
      </c>
      <c r="E36" s="12" t="s">
        <v>527</v>
      </c>
      <c r="F36" s="22" t="s">
        <v>20</v>
      </c>
      <c r="G36" s="12" t="s">
        <v>871</v>
      </c>
      <c r="H36" s="12" t="s">
        <v>127</v>
      </c>
      <c r="I36" s="12" t="s">
        <v>870</v>
      </c>
      <c r="J36" s="13" t="str">
        <f t="shared" si="2"/>
        <v>R0402</v>
      </c>
      <c r="K36" s="13" t="str">
        <f t="shared" ref="K36:K37" si="5">_xlfn.CONCAT("R-", D36,"-",E36," ",_xlfn.IFS(F36 ="±0,1", "B", F36 = "±0,25", "C", F36 = "±0,5", "D", F36 = "±1%", "F",F36="±2%","G",F36="±5%", "J", F36="±10%", "K", F36="±20%", "M"))</f>
        <v>R-0402-1M F</v>
      </c>
      <c r="L36" s="12" t="str">
        <f t="shared" ref="L36:L37" si="6">K36</f>
        <v>R-0402-1M F</v>
      </c>
    </row>
    <row r="37" spans="1:12" x14ac:dyDescent="0.25">
      <c r="A37" s="12" t="s">
        <v>528</v>
      </c>
      <c r="B37" s="12" t="s">
        <v>529</v>
      </c>
      <c r="C37" s="12" t="s">
        <v>126</v>
      </c>
      <c r="D37" s="5" t="s">
        <v>9</v>
      </c>
      <c r="E37" s="12" t="s">
        <v>530</v>
      </c>
      <c r="F37" s="22" t="s">
        <v>20</v>
      </c>
      <c r="G37" s="12" t="s">
        <v>871</v>
      </c>
      <c r="H37" s="12" t="s">
        <v>127</v>
      </c>
      <c r="I37" s="12" t="s">
        <v>870</v>
      </c>
      <c r="J37" s="13" t="str">
        <f t="shared" si="2"/>
        <v>R0402</v>
      </c>
      <c r="K37" s="13" t="str">
        <f t="shared" si="5"/>
        <v>R-0402-243K F</v>
      </c>
      <c r="L37" s="12" t="str">
        <f t="shared" si="6"/>
        <v>R-0402-243K F</v>
      </c>
    </row>
    <row r="38" spans="1:12" x14ac:dyDescent="0.25">
      <c r="A38" s="12" t="s">
        <v>531</v>
      </c>
      <c r="B38" s="12" t="s">
        <v>532</v>
      </c>
      <c r="C38" s="12" t="s">
        <v>126</v>
      </c>
      <c r="D38" s="5" t="s">
        <v>9</v>
      </c>
      <c r="E38" s="12" t="s">
        <v>533</v>
      </c>
      <c r="F38" s="22" t="s">
        <v>20</v>
      </c>
      <c r="G38" s="12" t="s">
        <v>871</v>
      </c>
      <c r="H38" s="12" t="s">
        <v>127</v>
      </c>
      <c r="I38" s="12" t="s">
        <v>870</v>
      </c>
      <c r="J38" s="13" t="str">
        <f t="shared" si="2"/>
        <v>R0402</v>
      </c>
      <c r="K38" s="13" t="str">
        <f t="shared" ref="K38" si="7">_xlfn.CONCAT("R-", D38,"-",E38," ",_xlfn.IFS(F38 ="±0,1", "B", F38 = "±0,25", "C", F38 = "±0,5", "D", F38 = "±1%", "F",F38="±2%","G",F38="±5%", "J", F38="±10%", "K", F38="±20%", "M"))</f>
        <v>R-0402-412K F</v>
      </c>
      <c r="L38" s="12" t="str">
        <f t="shared" ref="L38" si="8">K38</f>
        <v>R-0402-412K F</v>
      </c>
    </row>
    <row r="39" spans="1:12" x14ac:dyDescent="0.25">
      <c r="A39" s="12" t="s">
        <v>536</v>
      </c>
      <c r="B39" s="12" t="s">
        <v>534</v>
      </c>
      <c r="C39" s="12" t="s">
        <v>126</v>
      </c>
      <c r="D39" s="5" t="s">
        <v>9</v>
      </c>
      <c r="E39" s="12" t="s">
        <v>535</v>
      </c>
      <c r="F39" s="22" t="s">
        <v>20</v>
      </c>
      <c r="G39" s="12" t="s">
        <v>871</v>
      </c>
      <c r="H39" s="12" t="s">
        <v>127</v>
      </c>
      <c r="I39" s="12" t="s">
        <v>870</v>
      </c>
      <c r="J39" s="13" t="str">
        <f t="shared" si="2"/>
        <v>R0402</v>
      </c>
      <c r="K39" s="13" t="str">
        <f t="shared" ref="K39:K43" si="9">_xlfn.CONCAT("R-", D39,"-",E39," ",_xlfn.IFS(F39 ="±0,1", "B", F39 = "±0,25", "C", F39 = "±0,5", "D", F39 = "±1%", "F",F39="±2%","G",F39="±5%", "J", F39="±10%", "K", F39="±20%", "M"))</f>
        <v>R-0402-866K F</v>
      </c>
      <c r="L39" s="12" t="str">
        <f t="shared" ref="L39:L43" si="10">K39</f>
        <v>R-0402-866K F</v>
      </c>
    </row>
    <row r="40" spans="1:12" x14ac:dyDescent="0.25">
      <c r="A40" s="12" t="s">
        <v>554</v>
      </c>
      <c r="B40" s="12" t="s">
        <v>555</v>
      </c>
      <c r="C40" s="12" t="s">
        <v>126</v>
      </c>
      <c r="D40" s="12" t="s">
        <v>9</v>
      </c>
      <c r="E40" s="12" t="s">
        <v>556</v>
      </c>
      <c r="F40" s="22" t="s">
        <v>20</v>
      </c>
      <c r="G40" s="12" t="s">
        <v>871</v>
      </c>
      <c r="H40" s="12" t="s">
        <v>127</v>
      </c>
      <c r="I40" s="12" t="s">
        <v>870</v>
      </c>
      <c r="J40" s="13" t="str">
        <f t="shared" si="2"/>
        <v>R0402</v>
      </c>
      <c r="K40" s="13" t="str">
        <f t="shared" si="9"/>
        <v>R-0402-12K F</v>
      </c>
      <c r="L40" s="12" t="str">
        <f t="shared" si="10"/>
        <v>R-0402-12K F</v>
      </c>
    </row>
    <row r="41" spans="1:12" x14ac:dyDescent="0.25">
      <c r="A41" s="12" t="s">
        <v>581</v>
      </c>
      <c r="B41" s="3" t="s">
        <v>582</v>
      </c>
      <c r="C41" s="12" t="s">
        <v>126</v>
      </c>
      <c r="D41" s="5" t="s">
        <v>9</v>
      </c>
      <c r="E41" s="12" t="s">
        <v>583</v>
      </c>
      <c r="F41" s="22" t="s">
        <v>20</v>
      </c>
      <c r="G41" s="12" t="s">
        <v>871</v>
      </c>
      <c r="H41" s="12" t="s">
        <v>127</v>
      </c>
      <c r="I41" s="12" t="s">
        <v>870</v>
      </c>
      <c r="J41" s="13" t="str">
        <f t="shared" si="2"/>
        <v>R0402</v>
      </c>
      <c r="K41" s="13" t="str">
        <f t="shared" si="9"/>
        <v>R-0402-200R F</v>
      </c>
      <c r="L41" s="12" t="str">
        <f t="shared" si="10"/>
        <v>R-0402-200R F</v>
      </c>
    </row>
    <row r="42" spans="1:12" x14ac:dyDescent="0.25">
      <c r="A42" s="12" t="s">
        <v>603</v>
      </c>
      <c r="B42" s="3" t="s">
        <v>602</v>
      </c>
      <c r="C42" s="12" t="s">
        <v>126</v>
      </c>
      <c r="D42" s="5" t="s">
        <v>9</v>
      </c>
      <c r="E42" s="12" t="s">
        <v>604</v>
      </c>
      <c r="F42" s="22" t="s">
        <v>20</v>
      </c>
      <c r="G42" s="12" t="s">
        <v>871</v>
      </c>
      <c r="H42" s="12" t="s">
        <v>127</v>
      </c>
      <c r="I42" s="12" t="s">
        <v>870</v>
      </c>
      <c r="J42" s="13" t="str">
        <f t="shared" si="2"/>
        <v>R0402</v>
      </c>
      <c r="K42" s="13" t="str">
        <f t="shared" si="9"/>
        <v>R-0402-11K F</v>
      </c>
      <c r="L42" s="12" t="str">
        <f t="shared" si="10"/>
        <v>R-0402-11K F</v>
      </c>
    </row>
    <row r="43" spans="1:12" x14ac:dyDescent="0.25">
      <c r="A43" s="12" t="s">
        <v>605</v>
      </c>
      <c r="B43" s="12" t="s">
        <v>607</v>
      </c>
      <c r="C43" s="12" t="s">
        <v>126</v>
      </c>
      <c r="D43" s="12" t="s">
        <v>9</v>
      </c>
      <c r="E43" s="12" t="s">
        <v>606</v>
      </c>
      <c r="F43" s="22" t="s">
        <v>20</v>
      </c>
      <c r="G43" s="12" t="s">
        <v>871</v>
      </c>
      <c r="H43" s="12" t="s">
        <v>127</v>
      </c>
      <c r="I43" s="12" t="s">
        <v>870</v>
      </c>
      <c r="J43" s="13" t="str">
        <f t="shared" si="2"/>
        <v>R0402</v>
      </c>
      <c r="K43" s="13" t="str">
        <f t="shared" si="9"/>
        <v>R-0402-2K49 F</v>
      </c>
      <c r="L43" s="12" t="str">
        <f t="shared" si="10"/>
        <v>R-0402-2K49 F</v>
      </c>
    </row>
    <row r="44" spans="1:12" x14ac:dyDescent="0.25">
      <c r="A44" s="12" t="s">
        <v>609</v>
      </c>
      <c r="B44" s="12" t="s">
        <v>608</v>
      </c>
      <c r="C44" s="12" t="s">
        <v>126</v>
      </c>
      <c r="D44" s="12" t="s">
        <v>9</v>
      </c>
      <c r="E44" s="12" t="s">
        <v>610</v>
      </c>
      <c r="F44" s="22" t="s">
        <v>20</v>
      </c>
      <c r="G44" s="12" t="s">
        <v>871</v>
      </c>
      <c r="H44" s="12" t="s">
        <v>127</v>
      </c>
      <c r="I44" s="12" t="s">
        <v>870</v>
      </c>
      <c r="J44" s="13" t="str">
        <f t="shared" si="2"/>
        <v>R0402</v>
      </c>
      <c r="K44" s="13" t="str">
        <f t="shared" ref="K44:K47" si="11">_xlfn.CONCAT("R-", D44,"-",E44," ",_xlfn.IFS(F44 ="±0,1", "B", F44 = "±0,25", "C", F44 = "±0,5", "D", F44 = "±1%", "F",F44="±2%","G",F44="±5%", "J", F44="±10%", "K", F44="±20%", "M"))</f>
        <v>R-0402-5K76 F</v>
      </c>
      <c r="L44" s="12" t="str">
        <f t="shared" ref="L44:L47" si="12">K44</f>
        <v>R-0402-5K76 F</v>
      </c>
    </row>
    <row r="45" spans="1:12" x14ac:dyDescent="0.25">
      <c r="A45" s="12" t="s">
        <v>625</v>
      </c>
      <c r="B45" s="3" t="s">
        <v>626</v>
      </c>
      <c r="C45" s="12" t="s">
        <v>126</v>
      </c>
      <c r="D45" s="5" t="s">
        <v>9</v>
      </c>
      <c r="E45" s="12" t="s">
        <v>627</v>
      </c>
      <c r="F45" s="22" t="s">
        <v>20</v>
      </c>
      <c r="G45" s="12" t="s">
        <v>871</v>
      </c>
      <c r="H45" s="12" t="s">
        <v>127</v>
      </c>
      <c r="I45" s="12" t="s">
        <v>870</v>
      </c>
      <c r="J45" s="13" t="str">
        <f t="shared" si="2"/>
        <v>R0402</v>
      </c>
      <c r="K45" s="13" t="str">
        <f t="shared" si="11"/>
        <v>R-0402-330R F</v>
      </c>
      <c r="L45" s="12" t="str">
        <f t="shared" si="12"/>
        <v>R-0402-330R F</v>
      </c>
    </row>
    <row r="46" spans="1:12" x14ac:dyDescent="0.25">
      <c r="A46" s="12" t="s">
        <v>631</v>
      </c>
      <c r="B46" s="3" t="s">
        <v>632</v>
      </c>
      <c r="C46" s="12" t="s">
        <v>126</v>
      </c>
      <c r="D46" s="5" t="s">
        <v>9</v>
      </c>
      <c r="E46" s="12" t="s">
        <v>633</v>
      </c>
      <c r="F46" s="22" t="s">
        <v>20</v>
      </c>
      <c r="G46" s="12" t="s">
        <v>871</v>
      </c>
      <c r="H46" s="12" t="s">
        <v>127</v>
      </c>
      <c r="I46" s="12" t="s">
        <v>870</v>
      </c>
      <c r="J46" s="13" t="str">
        <f t="shared" si="2"/>
        <v>R0402</v>
      </c>
      <c r="K46" s="13" t="str">
        <f t="shared" si="11"/>
        <v>R-0402-120R F</v>
      </c>
      <c r="L46" s="12" t="str">
        <f t="shared" si="12"/>
        <v>R-0402-120R F</v>
      </c>
    </row>
    <row r="47" spans="1:12" x14ac:dyDescent="0.25">
      <c r="A47" s="12" t="s">
        <v>835</v>
      </c>
      <c r="B47" s="12" t="s">
        <v>834</v>
      </c>
      <c r="C47" s="12" t="s">
        <v>126</v>
      </c>
      <c r="D47" s="5" t="s">
        <v>9</v>
      </c>
      <c r="E47" s="12" t="s">
        <v>836</v>
      </c>
      <c r="F47" s="22" t="s">
        <v>20</v>
      </c>
      <c r="G47" s="12" t="s">
        <v>871</v>
      </c>
      <c r="H47" s="12" t="s">
        <v>127</v>
      </c>
      <c r="I47" s="12" t="s">
        <v>870</v>
      </c>
      <c r="J47" s="13" t="str">
        <f t="shared" si="2"/>
        <v>R0402</v>
      </c>
      <c r="K47" s="13" t="str">
        <f t="shared" si="11"/>
        <v>R-0402-52K3 F</v>
      </c>
      <c r="L47" s="12" t="str">
        <f t="shared" si="12"/>
        <v>R-0402-52K3 F</v>
      </c>
    </row>
    <row r="48" spans="1:12" x14ac:dyDescent="0.25">
      <c r="A48" s="12" t="s">
        <v>635</v>
      </c>
      <c r="B48" s="12" t="s">
        <v>713</v>
      </c>
      <c r="C48" s="12" t="s">
        <v>126</v>
      </c>
      <c r="D48" s="5" t="s">
        <v>9</v>
      </c>
      <c r="E48" s="12" t="s">
        <v>636</v>
      </c>
      <c r="F48" s="22" t="s">
        <v>20</v>
      </c>
      <c r="G48" s="12" t="s">
        <v>871</v>
      </c>
      <c r="H48" s="12" t="s">
        <v>127</v>
      </c>
      <c r="I48" s="12" t="s">
        <v>870</v>
      </c>
      <c r="J48" s="13" t="str">
        <f t="shared" si="2"/>
        <v>R0402</v>
      </c>
      <c r="K48" s="13" t="str">
        <f t="shared" ref="K48:K49" si="13">_xlfn.CONCAT("R-", D48,"-",E48," ",_xlfn.IFS(F48 ="±0,1", "B", F48 = "±0,25", "C", F48 = "±0,5", "D", F48 = "±1%", "F",F48="±2%","G",F48="±5%", "J", F48="±10%", "K", F48="±20%", "M"))</f>
        <v>R-0402-75K F</v>
      </c>
      <c r="L48" s="12" t="str">
        <f t="shared" ref="L48:L49" si="14">K48</f>
        <v>R-0402-75K F</v>
      </c>
    </row>
    <row r="49" spans="1:12" x14ac:dyDescent="0.25">
      <c r="A49" s="12" t="s">
        <v>705</v>
      </c>
      <c r="B49" s="3" t="s">
        <v>706</v>
      </c>
      <c r="C49" s="12" t="s">
        <v>126</v>
      </c>
      <c r="D49" s="12" t="s">
        <v>25</v>
      </c>
      <c r="E49" s="12" t="s">
        <v>328</v>
      </c>
      <c r="F49" s="22" t="s">
        <v>20</v>
      </c>
      <c r="G49" s="12" t="s">
        <v>871</v>
      </c>
      <c r="H49" s="12" t="s">
        <v>127</v>
      </c>
      <c r="I49" s="12" t="s">
        <v>870</v>
      </c>
      <c r="J49" s="13" t="str">
        <f t="shared" si="2"/>
        <v>R0201</v>
      </c>
      <c r="K49" s="13" t="str">
        <f t="shared" si="13"/>
        <v>R-0201-100R F</v>
      </c>
      <c r="L49" s="12" t="str">
        <f t="shared" si="14"/>
        <v>R-0201-100R F</v>
      </c>
    </row>
    <row r="50" spans="1:12" x14ac:dyDescent="0.25">
      <c r="A50" s="12" t="s">
        <v>725</v>
      </c>
      <c r="B50" s="3" t="s">
        <v>726</v>
      </c>
      <c r="C50" s="12" t="s">
        <v>126</v>
      </c>
      <c r="D50" s="12" t="s">
        <v>9</v>
      </c>
      <c r="E50" s="12" t="s">
        <v>730</v>
      </c>
      <c r="F50" s="22" t="s">
        <v>20</v>
      </c>
      <c r="G50" s="12" t="s">
        <v>871</v>
      </c>
      <c r="H50" s="12" t="s">
        <v>127</v>
      </c>
      <c r="I50" s="12" t="s">
        <v>870</v>
      </c>
      <c r="J50" s="13" t="str">
        <f t="shared" si="2"/>
        <v>R0402</v>
      </c>
      <c r="K50" s="13" t="str">
        <f t="shared" ref="K50" si="15">_xlfn.CONCAT("R-", D50,"-",E50," ",_xlfn.IFS(F50 ="±0,1", "B", F50 = "±0,25", "C", F50 = "±0,5", "D", F50 = "±1%", "F",F50="±2%","G",F50="±5%", "J", F50="±10%", "K", F50="±20%", "M"))</f>
        <v>R-0402-22K1 F</v>
      </c>
      <c r="L50" s="12" t="str">
        <f t="shared" ref="L50" si="16">K50</f>
        <v>R-0402-22K1 F</v>
      </c>
    </row>
    <row r="51" spans="1:12" x14ac:dyDescent="0.25">
      <c r="A51" s="12" t="s">
        <v>727</v>
      </c>
      <c r="B51" s="3" t="s">
        <v>728</v>
      </c>
      <c r="C51" s="12" t="s">
        <v>126</v>
      </c>
      <c r="D51" s="12" t="s">
        <v>9</v>
      </c>
      <c r="E51" s="12" t="s">
        <v>729</v>
      </c>
      <c r="F51" s="22" t="s">
        <v>20</v>
      </c>
      <c r="G51" s="12" t="s">
        <v>871</v>
      </c>
      <c r="H51" s="12" t="s">
        <v>127</v>
      </c>
      <c r="I51" s="12" t="s">
        <v>870</v>
      </c>
      <c r="J51" s="13" t="str">
        <f t="shared" si="2"/>
        <v>R0402</v>
      </c>
      <c r="K51" s="13" t="str">
        <f t="shared" ref="K51" si="17">_xlfn.CONCAT("R-", D51,"-",E51," ",_xlfn.IFS(F51 ="±0,1", "B", F51 = "±0,25", "C", F51 = "±0,5", "D", F51 = "±1%", "F",F51="±2%","G",F51="±5%", "J", F51="±10%", "K", F51="±20%", "M"))</f>
        <v>R-0402-93K1 F</v>
      </c>
      <c r="L51" s="12" t="str">
        <f t="shared" ref="L51" si="18">K51</f>
        <v>R-0402-93K1 F</v>
      </c>
    </row>
    <row r="52" spans="1:12" x14ac:dyDescent="0.25">
      <c r="A52" s="12" t="s">
        <v>731</v>
      </c>
      <c r="B52" s="3" t="s">
        <v>732</v>
      </c>
      <c r="C52" s="12" t="s">
        <v>126</v>
      </c>
      <c r="D52" s="12" t="s">
        <v>9</v>
      </c>
      <c r="E52" s="12" t="s">
        <v>733</v>
      </c>
      <c r="F52" s="22" t="s">
        <v>20</v>
      </c>
      <c r="G52" s="12" t="s">
        <v>871</v>
      </c>
      <c r="H52" s="12" t="s">
        <v>127</v>
      </c>
      <c r="I52" s="12" t="s">
        <v>870</v>
      </c>
      <c r="J52" s="13" t="str">
        <f t="shared" si="2"/>
        <v>R0402</v>
      </c>
      <c r="K52" s="13" t="str">
        <f t="shared" ref="K52" si="19">_xlfn.CONCAT("R-", D52,"-",E52," ",_xlfn.IFS(F52 ="±0,1", "B", F52 = "±0,25", "C", F52 = "±0,5", "D", F52 = "±1%", "F",F52="±2%","G",F52="±5%", "J", F52="±10%", "K", F52="±20%", "M"))</f>
        <v>R-0402-165K F</v>
      </c>
      <c r="L52" s="12" t="str">
        <f t="shared" ref="L52" si="20">K52</f>
        <v>R-0402-165K F</v>
      </c>
    </row>
    <row r="53" spans="1:12" x14ac:dyDescent="0.25">
      <c r="A53" s="12" t="s">
        <v>734</v>
      </c>
      <c r="B53" s="3" t="s">
        <v>735</v>
      </c>
      <c r="C53" s="12" t="s">
        <v>126</v>
      </c>
      <c r="D53" s="12" t="s">
        <v>9</v>
      </c>
      <c r="E53" s="12" t="s">
        <v>736</v>
      </c>
      <c r="F53" s="22" t="s">
        <v>20</v>
      </c>
      <c r="G53" s="12" t="s">
        <v>871</v>
      </c>
      <c r="H53" s="12" t="s">
        <v>127</v>
      </c>
      <c r="I53" s="12" t="s">
        <v>870</v>
      </c>
      <c r="J53" s="13" t="str">
        <f t="shared" si="2"/>
        <v>R0402</v>
      </c>
      <c r="K53" s="13" t="str">
        <f t="shared" ref="K53" si="21">_xlfn.CONCAT("R-", D53,"-",E53," ",_xlfn.IFS(F53 ="±0,1", "B", F53 = "±0,25", "C", F53 = "±0,5", "D", F53 = "±1%", "F",F53="±2%","G",F53="±5%", "J", F53="±10%", "K", F53="±20%", "M"))</f>
        <v>R-0402-30K1 F</v>
      </c>
      <c r="L53" s="12" t="str">
        <f t="shared" ref="L53" si="22">K53</f>
        <v>R-0402-30K1 F</v>
      </c>
    </row>
    <row r="54" spans="1:12" x14ac:dyDescent="0.25">
      <c r="A54" s="12" t="s">
        <v>763</v>
      </c>
      <c r="B54" s="3" t="s">
        <v>764</v>
      </c>
      <c r="C54" s="12" t="s">
        <v>126</v>
      </c>
      <c r="D54" s="12" t="s">
        <v>9</v>
      </c>
      <c r="E54" s="12" t="s">
        <v>765</v>
      </c>
      <c r="F54" s="22" t="s">
        <v>20</v>
      </c>
      <c r="G54" s="12" t="s">
        <v>871</v>
      </c>
      <c r="H54" s="12" t="s">
        <v>127</v>
      </c>
      <c r="I54" s="12" t="s">
        <v>870</v>
      </c>
      <c r="J54" s="13" t="str">
        <f t="shared" si="2"/>
        <v>R0402</v>
      </c>
      <c r="K54" s="13" t="str">
        <f t="shared" ref="K54" si="23">_xlfn.CONCAT("R-", D54,"-",E54," ",_xlfn.IFS(F54 ="±0,1", "B", F54 = "±0,25", "C", F54 = "±0,5", "D", F54 = "±1%", "F",F54="±2%","G",F54="±5%", "J", F54="±10%", "K", F54="±20%", "M"))</f>
        <v>R-0402-25K5 F</v>
      </c>
      <c r="L54" s="12" t="str">
        <f t="shared" ref="L54" si="24">K54</f>
        <v>R-0402-25K5 F</v>
      </c>
    </row>
    <row r="55" spans="1:12" x14ac:dyDescent="0.25">
      <c r="A55" s="12" t="s">
        <v>772</v>
      </c>
      <c r="B55" s="3" t="s">
        <v>773</v>
      </c>
      <c r="C55" s="12" t="s">
        <v>126</v>
      </c>
      <c r="D55" s="12" t="s">
        <v>9</v>
      </c>
      <c r="E55" s="12" t="s">
        <v>774</v>
      </c>
      <c r="F55" s="22" t="s">
        <v>20</v>
      </c>
      <c r="G55" s="12" t="s">
        <v>871</v>
      </c>
      <c r="H55" s="12" t="s">
        <v>127</v>
      </c>
      <c r="I55" s="12" t="s">
        <v>870</v>
      </c>
      <c r="J55" s="13" t="str">
        <f t="shared" si="2"/>
        <v>R0402</v>
      </c>
      <c r="K55" s="13" t="str">
        <f t="shared" ref="K55" si="25">_xlfn.CONCAT("R-", D55,"-",E55," ",_xlfn.IFS(F55 ="±0,1", "B", F55 = "±0,25", "C", F55 = "±0,5", "D", F55 = "±1%", "F",F55="±2%","G",F55="±5%", "J", F55="±10%", "K", F55="±20%", "M"))</f>
        <v>R-0402-49K9 F</v>
      </c>
      <c r="L55" s="12" t="str">
        <f t="shared" ref="L55" si="26">K55</f>
        <v>R-0402-49K9 F</v>
      </c>
    </row>
    <row r="56" spans="1:12" x14ac:dyDescent="0.25">
      <c r="A56" s="12" t="s">
        <v>775</v>
      </c>
      <c r="B56" s="3" t="s">
        <v>776</v>
      </c>
      <c r="C56" s="12" t="s">
        <v>126</v>
      </c>
      <c r="D56" s="12" t="s">
        <v>9</v>
      </c>
      <c r="E56" s="12" t="s">
        <v>777</v>
      </c>
      <c r="F56" s="22" t="s">
        <v>20</v>
      </c>
      <c r="G56" s="12" t="s">
        <v>871</v>
      </c>
      <c r="H56" s="12" t="s">
        <v>127</v>
      </c>
      <c r="I56" s="12" t="s">
        <v>870</v>
      </c>
      <c r="J56" s="13" t="str">
        <f t="shared" si="2"/>
        <v>R0402</v>
      </c>
      <c r="K56" s="13" t="str">
        <f t="shared" ref="K56:K58" si="27">_xlfn.CONCAT("R-", D56,"-",E56," ",_xlfn.IFS(F56 ="±0,1", "B", F56 = "±0,25", "C", F56 = "±0,5", "D", F56 = "±1%", "F",F56="±2%","G",F56="±5%", "J", F56="±10%", "K", F56="±20%", "M"))</f>
        <v>R-0402-12K4 F</v>
      </c>
      <c r="L56" s="12" t="str">
        <f t="shared" ref="L56:L58" si="28">K56</f>
        <v>R-0402-12K4 F</v>
      </c>
    </row>
    <row r="57" spans="1:12" x14ac:dyDescent="0.25">
      <c r="A57" s="12" t="s">
        <v>787</v>
      </c>
      <c r="B57" s="3" t="s">
        <v>788</v>
      </c>
      <c r="C57" s="12" t="s">
        <v>126</v>
      </c>
      <c r="D57" s="5" t="s">
        <v>9</v>
      </c>
      <c r="E57" s="12" t="s">
        <v>789</v>
      </c>
      <c r="F57" s="22" t="s">
        <v>20</v>
      </c>
      <c r="G57" s="12" t="s">
        <v>871</v>
      </c>
      <c r="H57" s="12" t="s">
        <v>127</v>
      </c>
      <c r="I57" s="12" t="s">
        <v>870</v>
      </c>
      <c r="J57" s="13" t="str">
        <f t="shared" si="2"/>
        <v>R0402</v>
      </c>
      <c r="K57" s="13" t="str">
        <f t="shared" si="27"/>
        <v>R-0402-49R9 F</v>
      </c>
      <c r="L57" s="12" t="str">
        <f t="shared" si="28"/>
        <v>R-0402-49R9 F</v>
      </c>
    </row>
    <row r="58" spans="1:12" x14ac:dyDescent="0.25">
      <c r="A58" s="12" t="s">
        <v>790</v>
      </c>
      <c r="B58" s="3" t="s">
        <v>791</v>
      </c>
      <c r="C58" s="12" t="s">
        <v>126</v>
      </c>
      <c r="D58" s="5" t="s">
        <v>9</v>
      </c>
      <c r="E58" s="12" t="s">
        <v>792</v>
      </c>
      <c r="F58" s="22" t="s">
        <v>20</v>
      </c>
      <c r="G58" s="12" t="s">
        <v>871</v>
      </c>
      <c r="H58" s="12" t="s">
        <v>127</v>
      </c>
      <c r="I58" s="12" t="s">
        <v>870</v>
      </c>
      <c r="J58" s="13" t="str">
        <f t="shared" si="2"/>
        <v>R0402</v>
      </c>
      <c r="K58" s="13" t="str">
        <f t="shared" si="27"/>
        <v>R-0402-1K1 F</v>
      </c>
      <c r="L58" s="12" t="str">
        <f t="shared" si="28"/>
        <v>R-0402-1K1 F</v>
      </c>
    </row>
    <row r="59" spans="1:12" x14ac:dyDescent="0.25">
      <c r="A59" s="12" t="s">
        <v>806</v>
      </c>
      <c r="B59" s="3" t="s">
        <v>807</v>
      </c>
      <c r="C59" s="12" t="s">
        <v>126</v>
      </c>
      <c r="D59" s="5" t="s">
        <v>9</v>
      </c>
      <c r="E59" s="12" t="s">
        <v>808</v>
      </c>
      <c r="F59" s="22" t="s">
        <v>20</v>
      </c>
      <c r="G59" s="12" t="s">
        <v>871</v>
      </c>
      <c r="H59" s="12" t="s">
        <v>127</v>
      </c>
      <c r="I59" s="12" t="s">
        <v>870</v>
      </c>
      <c r="J59" s="13" t="str">
        <f t="shared" si="2"/>
        <v>R0402</v>
      </c>
      <c r="K59" s="13" t="str">
        <f t="shared" ref="K59" si="29">_xlfn.CONCAT("R-", D59,"-",E59," ",_xlfn.IFS(F59 ="±0,1", "B", F59 = "±0,25", "C", F59 = "±0,5", "D", F59 = "±1%", "F",F59="±2%","G",F59="±5%", "J", F59="±10%", "K", F59="±20%", "M"))</f>
        <v>R-0402-69R8 F</v>
      </c>
      <c r="L59" s="12" t="str">
        <f t="shared" ref="L59" si="30">K59</f>
        <v>R-0402-69R8 F</v>
      </c>
    </row>
    <row r="60" spans="1:12" x14ac:dyDescent="0.25">
      <c r="A60" s="12" t="s">
        <v>809</v>
      </c>
      <c r="B60" s="3" t="s">
        <v>810</v>
      </c>
      <c r="C60" s="12" t="s">
        <v>126</v>
      </c>
      <c r="D60" s="5" t="s">
        <v>9</v>
      </c>
      <c r="E60" s="12" t="s">
        <v>811</v>
      </c>
      <c r="F60" s="22" t="s">
        <v>20</v>
      </c>
      <c r="G60" s="12" t="s">
        <v>871</v>
      </c>
      <c r="H60" s="12" t="s">
        <v>127</v>
      </c>
      <c r="I60" s="12" t="s">
        <v>870</v>
      </c>
      <c r="J60" s="13" t="str">
        <f t="shared" si="2"/>
        <v>R0402</v>
      </c>
      <c r="K60" s="13" t="str">
        <f t="shared" ref="K60:K61" si="31">_xlfn.CONCAT("R-", D60,"-",E60," ",_xlfn.IFS(F60 ="±0,1", "B", F60 = "±0,25", "C", F60 = "±0,5", "D", F60 = "±1%", "F",F60="±2%","G",F60="±5%", "J", F60="±10%", "K", F60="±20%", "M"))</f>
        <v>R-0402-221R F</v>
      </c>
      <c r="L60" s="12" t="str">
        <f t="shared" ref="L60:L61" si="32">K60</f>
        <v>R-0402-221R F</v>
      </c>
    </row>
    <row r="61" spans="1:12" x14ac:dyDescent="0.25">
      <c r="A61" s="12" t="s">
        <v>820</v>
      </c>
      <c r="B61" s="3" t="s">
        <v>821</v>
      </c>
      <c r="C61" s="12" t="s">
        <v>126</v>
      </c>
      <c r="D61" s="5" t="s">
        <v>9</v>
      </c>
      <c r="E61" s="12" t="s">
        <v>822</v>
      </c>
      <c r="F61" s="22" t="s">
        <v>20</v>
      </c>
      <c r="G61" s="12" t="s">
        <v>871</v>
      </c>
      <c r="H61" s="12" t="s">
        <v>127</v>
      </c>
      <c r="I61" s="12" t="s">
        <v>870</v>
      </c>
      <c r="J61" s="13" t="str">
        <f t="shared" si="2"/>
        <v>R0402</v>
      </c>
      <c r="K61" s="13" t="str">
        <f t="shared" si="31"/>
        <v>R-0402-36K F</v>
      </c>
      <c r="L61" s="12" t="str">
        <f t="shared" si="32"/>
        <v>R-0402-36K F</v>
      </c>
    </row>
    <row r="62" spans="1:12" x14ac:dyDescent="0.25">
      <c r="A62" s="12" t="s">
        <v>831</v>
      </c>
      <c r="B62" s="3" t="s">
        <v>833</v>
      </c>
      <c r="C62" s="12" t="s">
        <v>126</v>
      </c>
      <c r="D62" s="5" t="s">
        <v>9</v>
      </c>
      <c r="E62" s="12" t="s">
        <v>832</v>
      </c>
      <c r="F62" s="22" t="s">
        <v>20</v>
      </c>
      <c r="G62" s="12" t="s">
        <v>871</v>
      </c>
      <c r="H62" s="12" t="s">
        <v>127</v>
      </c>
      <c r="I62" s="12" t="s">
        <v>870</v>
      </c>
      <c r="J62" s="13" t="str">
        <f t="shared" si="2"/>
        <v>R0402</v>
      </c>
      <c r="K62" s="13" t="str">
        <f t="shared" ref="K62:K63" si="33">_xlfn.CONCAT("R-", D62,"-",E62," ",_xlfn.IFS(F62 ="±0,1", "B", F62 = "±0,25", "C", F62 = "±0,5", "D", F62 = "±1%", "F",F62="±2%","G",F62="±5%", "J", F62="±10%", "K", F62="±20%", "M"))</f>
        <v>R-0402-196K F</v>
      </c>
      <c r="L62" s="12" t="str">
        <f t="shared" ref="L62:L63" si="34">K62</f>
        <v>R-0402-196K F</v>
      </c>
    </row>
    <row r="63" spans="1:12" x14ac:dyDescent="0.25">
      <c r="A63" s="12" t="s">
        <v>847</v>
      </c>
      <c r="B63" s="3" t="s">
        <v>961</v>
      </c>
      <c r="C63" s="12" t="s">
        <v>126</v>
      </c>
      <c r="D63" s="12" t="s">
        <v>25</v>
      </c>
      <c r="E63" s="12" t="s">
        <v>848</v>
      </c>
      <c r="F63" s="22" t="s">
        <v>20</v>
      </c>
      <c r="G63" s="12" t="s">
        <v>871</v>
      </c>
      <c r="H63" s="12" t="s">
        <v>127</v>
      </c>
      <c r="I63" s="12" t="s">
        <v>870</v>
      </c>
      <c r="J63" s="13" t="str">
        <f t="shared" si="2"/>
        <v>R0201</v>
      </c>
      <c r="K63" s="13" t="str">
        <f t="shared" si="33"/>
        <v>R-0201-22R F</v>
      </c>
      <c r="L63" s="12" t="str">
        <f t="shared" si="34"/>
        <v>R-0201-22R F</v>
      </c>
    </row>
    <row r="64" spans="1:12" x14ac:dyDescent="0.25">
      <c r="A64" s="12" t="s">
        <v>849</v>
      </c>
      <c r="B64" s="3" t="s">
        <v>962</v>
      </c>
      <c r="C64" s="12" t="s">
        <v>126</v>
      </c>
      <c r="D64" s="12" t="s">
        <v>25</v>
      </c>
      <c r="E64" s="12" t="s">
        <v>850</v>
      </c>
      <c r="F64" s="22" t="s">
        <v>20</v>
      </c>
      <c r="G64" s="12" t="s">
        <v>871</v>
      </c>
      <c r="H64" s="12" t="s">
        <v>127</v>
      </c>
      <c r="I64" s="12" t="s">
        <v>870</v>
      </c>
      <c r="J64" s="13" t="str">
        <f t="shared" si="2"/>
        <v>R0201</v>
      </c>
      <c r="K64" s="13" t="str">
        <f t="shared" ref="K64" si="35">_xlfn.CONCAT("R-", D64,"-",E64," ",_xlfn.IFS(F64 ="±0,1", "B", F64 = "±0,25", "C", F64 = "±0,5", "D", F64 = "±1%", "F",F64="±2%","G",F64="±5%", "J", F64="±10%", "K", F64="±20%", "M"))</f>
        <v>R-0201-56R F</v>
      </c>
      <c r="L64" s="12" t="str">
        <f t="shared" ref="L64" si="36">K64</f>
        <v>R-0201-56R F</v>
      </c>
    </row>
    <row r="65" spans="1:12" x14ac:dyDescent="0.25">
      <c r="A65" s="12" t="s">
        <v>863</v>
      </c>
      <c r="B65" s="3" t="s">
        <v>963</v>
      </c>
      <c r="C65" s="12" t="s">
        <v>126</v>
      </c>
      <c r="D65" s="12" t="s">
        <v>25</v>
      </c>
      <c r="E65" s="12" t="s">
        <v>789</v>
      </c>
      <c r="F65" s="22" t="s">
        <v>20</v>
      </c>
      <c r="G65" s="12" t="s">
        <v>871</v>
      </c>
      <c r="H65" s="12" t="s">
        <v>127</v>
      </c>
      <c r="I65" s="12" t="s">
        <v>870</v>
      </c>
      <c r="J65" s="13" t="str">
        <f t="shared" si="2"/>
        <v>R0201</v>
      </c>
      <c r="K65" s="13" t="str">
        <f t="shared" ref="K65:K66" si="37">_xlfn.CONCAT("R-", D65,"-",E65," ",_xlfn.IFS(F65 ="±0,1", "B", F65 = "±0,25", "C", F65 = "±0,5", "D", F65 = "±1%", "F",F65="±2%","G",F65="±5%", "J", F65="±10%", "K", F65="±20%", "M"))</f>
        <v>R-0201-49R9 F</v>
      </c>
      <c r="L65" s="12" t="str">
        <f t="shared" ref="L65:L66" si="38">K65</f>
        <v>R-0201-49R9 F</v>
      </c>
    </row>
    <row r="66" spans="1:12" x14ac:dyDescent="0.25">
      <c r="A66" s="12" t="s">
        <v>946</v>
      </c>
      <c r="B66" s="3" t="s">
        <v>960</v>
      </c>
      <c r="C66" s="12" t="s">
        <v>126</v>
      </c>
      <c r="D66" s="5" t="s">
        <v>9</v>
      </c>
      <c r="E66" s="12" t="s">
        <v>947</v>
      </c>
      <c r="F66" s="22" t="s">
        <v>20</v>
      </c>
      <c r="G66" s="12" t="s">
        <v>871</v>
      </c>
      <c r="H66" s="12" t="s">
        <v>127</v>
      </c>
      <c r="I66" s="12" t="s">
        <v>870</v>
      </c>
      <c r="J66" s="13" t="str">
        <f t="shared" si="2"/>
        <v>R0402</v>
      </c>
      <c r="K66" s="13" t="str">
        <f t="shared" si="37"/>
        <v>R-0402-2K37 F</v>
      </c>
      <c r="L66" s="12" t="str">
        <f t="shared" si="38"/>
        <v>R-0402-2K37 F</v>
      </c>
    </row>
    <row r="67" spans="1:12" x14ac:dyDescent="0.25">
      <c r="A67" s="12" t="s">
        <v>957</v>
      </c>
      <c r="B67" s="3" t="s">
        <v>959</v>
      </c>
      <c r="C67" s="12" t="s">
        <v>126</v>
      </c>
      <c r="D67" s="5" t="s">
        <v>9</v>
      </c>
      <c r="E67" s="12" t="s">
        <v>958</v>
      </c>
      <c r="F67" s="22" t="s">
        <v>20</v>
      </c>
      <c r="G67" s="12" t="s">
        <v>871</v>
      </c>
      <c r="H67" s="12" t="s">
        <v>127</v>
      </c>
      <c r="I67" s="12" t="s">
        <v>870</v>
      </c>
      <c r="J67" s="13" t="str">
        <f t="shared" si="2"/>
        <v>R0402</v>
      </c>
      <c r="K67" s="13" t="str">
        <f t="shared" ref="K67:K72" si="39">_xlfn.CONCAT("R-", D67,"-",E67," ",_xlfn.IFS(F67 ="±0,1", "B", F67 = "±0,25", "C", F67 = "±0,5", "D", F67 = "±1%", "F",F67="±2%","G",F67="±5%", "J", F67="±10%", "K", F67="±20%", "M"))</f>
        <v>R-0402-11K8 F</v>
      </c>
      <c r="L67" s="12" t="str">
        <f t="shared" ref="L67:L72" si="40">K67</f>
        <v>R-0402-11K8 F</v>
      </c>
    </row>
    <row r="68" spans="1:12" x14ac:dyDescent="0.25">
      <c r="A68" s="12" t="s">
        <v>966</v>
      </c>
      <c r="B68" s="3" t="s">
        <v>964</v>
      </c>
      <c r="C68" s="12" t="s">
        <v>126</v>
      </c>
      <c r="D68" s="5" t="s">
        <v>9</v>
      </c>
      <c r="E68" s="12" t="s">
        <v>965</v>
      </c>
      <c r="F68" s="22" t="s">
        <v>20</v>
      </c>
      <c r="G68" s="12" t="s">
        <v>871</v>
      </c>
      <c r="H68" s="12" t="s">
        <v>127</v>
      </c>
      <c r="I68" s="12" t="s">
        <v>870</v>
      </c>
      <c r="J68" s="13" t="str">
        <f t="shared" ref="J68:J74" si="41">_xlfn.CONCAT("R",D68)</f>
        <v>R0402</v>
      </c>
      <c r="K68" s="13" t="str">
        <f t="shared" si="39"/>
        <v>R-0402-3K74 F</v>
      </c>
      <c r="L68" s="12" t="str">
        <f t="shared" si="40"/>
        <v>R-0402-3K74 F</v>
      </c>
    </row>
    <row r="69" spans="1:12" x14ac:dyDescent="0.25">
      <c r="A69" s="12" t="s">
        <v>967</v>
      </c>
      <c r="B69" s="12" t="s">
        <v>969</v>
      </c>
      <c r="C69" s="12" t="s">
        <v>126</v>
      </c>
      <c r="D69" s="5" t="s">
        <v>9</v>
      </c>
      <c r="E69" s="12" t="s">
        <v>968</v>
      </c>
      <c r="F69" s="22" t="s">
        <v>20</v>
      </c>
      <c r="G69" s="12" t="s">
        <v>871</v>
      </c>
      <c r="H69" s="12" t="s">
        <v>127</v>
      </c>
      <c r="I69" s="12" t="s">
        <v>870</v>
      </c>
      <c r="J69" s="13" t="str">
        <f t="shared" si="41"/>
        <v>R0402</v>
      </c>
      <c r="K69" s="13" t="str">
        <f t="shared" si="39"/>
        <v>R-0402-3K01 F</v>
      </c>
      <c r="L69" s="12" t="str">
        <f t="shared" si="40"/>
        <v>R-0402-3K01 F</v>
      </c>
    </row>
    <row r="70" spans="1:12" x14ac:dyDescent="0.25">
      <c r="A70" s="12" t="s">
        <v>1016</v>
      </c>
      <c r="B70" s="3" t="s">
        <v>1017</v>
      </c>
      <c r="C70" s="12" t="s">
        <v>126</v>
      </c>
      <c r="D70" s="5" t="s">
        <v>9</v>
      </c>
      <c r="E70" s="12" t="s">
        <v>1018</v>
      </c>
      <c r="F70" s="22" t="s">
        <v>20</v>
      </c>
      <c r="G70" s="12" t="s">
        <v>871</v>
      </c>
      <c r="H70" s="12" t="s">
        <v>127</v>
      </c>
      <c r="I70" s="12" t="s">
        <v>870</v>
      </c>
      <c r="J70" s="13" t="str">
        <f t="shared" si="41"/>
        <v>R0402</v>
      </c>
      <c r="K70" s="13" t="str">
        <f t="shared" si="39"/>
        <v>R-0402-270K F</v>
      </c>
      <c r="L70" s="12" t="str">
        <f t="shared" si="40"/>
        <v>R-0402-270K F</v>
      </c>
    </row>
    <row r="71" spans="1:12" x14ac:dyDescent="0.25">
      <c r="A71" s="12" t="s">
        <v>1051</v>
      </c>
      <c r="B71" s="12" t="s">
        <v>1052</v>
      </c>
      <c r="C71" s="12" t="s">
        <v>126</v>
      </c>
      <c r="D71" s="5" t="s">
        <v>9</v>
      </c>
      <c r="E71" s="12" t="s">
        <v>1053</v>
      </c>
      <c r="F71" s="22" t="s">
        <v>20</v>
      </c>
      <c r="G71" s="12" t="s">
        <v>871</v>
      </c>
      <c r="H71" s="12" t="s">
        <v>127</v>
      </c>
      <c r="I71" s="12" t="s">
        <v>870</v>
      </c>
      <c r="J71" s="13" t="str">
        <f t="shared" si="41"/>
        <v>R0402</v>
      </c>
      <c r="K71" s="13" t="str">
        <f t="shared" si="39"/>
        <v>R-0402-2K2 F</v>
      </c>
      <c r="L71" s="12" t="str">
        <f t="shared" si="40"/>
        <v>R-0402-2K2 F</v>
      </c>
    </row>
    <row r="72" spans="1:12" x14ac:dyDescent="0.25">
      <c r="A72" s="12" t="s">
        <v>1065</v>
      </c>
      <c r="B72" s="3" t="s">
        <v>1074</v>
      </c>
      <c r="C72" s="12" t="s">
        <v>126</v>
      </c>
      <c r="D72" s="12" t="s">
        <v>25</v>
      </c>
      <c r="E72" s="12" t="s">
        <v>134</v>
      </c>
      <c r="F72" s="22" t="s">
        <v>20</v>
      </c>
      <c r="G72" s="12" t="s">
        <v>871</v>
      </c>
      <c r="H72" s="12" t="s">
        <v>127</v>
      </c>
      <c r="I72" s="12" t="s">
        <v>870</v>
      </c>
      <c r="J72" s="13" t="str">
        <f t="shared" si="41"/>
        <v>R0201</v>
      </c>
      <c r="K72" s="13" t="str">
        <f t="shared" si="39"/>
        <v>R-0201-0R F</v>
      </c>
      <c r="L72" s="12" t="str">
        <f t="shared" si="40"/>
        <v>R-0201-0R F</v>
      </c>
    </row>
    <row r="73" spans="1:12" x14ac:dyDescent="0.25">
      <c r="A73" s="12" t="s">
        <v>1073</v>
      </c>
      <c r="B73" s="12" t="s">
        <v>1075</v>
      </c>
      <c r="C73" s="12" t="s">
        <v>126</v>
      </c>
      <c r="D73" s="5" t="s">
        <v>9</v>
      </c>
      <c r="E73" s="12" t="s">
        <v>1076</v>
      </c>
      <c r="F73" s="22" t="s">
        <v>20</v>
      </c>
      <c r="G73" s="12" t="s">
        <v>871</v>
      </c>
      <c r="H73" s="12" t="s">
        <v>127</v>
      </c>
      <c r="I73" s="12" t="s">
        <v>870</v>
      </c>
      <c r="J73" s="13" t="str">
        <f t="shared" si="41"/>
        <v>R0402</v>
      </c>
      <c r="K73" s="13" t="str">
        <f t="shared" ref="K73:K74" si="42">_xlfn.CONCAT("R-", D73,"-",E73," ",_xlfn.IFS(F73 ="±0,1", "B", F73 = "±0,25", "C", F73 = "±0,5", "D", F73 = "±1%", "F",F73="±2%","G",F73="±5%", "J", F73="±10%", "K", F73="±20%", "M"))</f>
        <v>R-0402-24K3 F</v>
      </c>
      <c r="L73" s="12" t="str">
        <f t="shared" ref="L73:L74" si="43">K73</f>
        <v>R-0402-24K3 F</v>
      </c>
    </row>
    <row r="74" spans="1:12" x14ac:dyDescent="0.25">
      <c r="A74" s="12" t="s">
        <v>1079</v>
      </c>
      <c r="B74" s="12" t="s">
        <v>1077</v>
      </c>
      <c r="C74" s="12" t="s">
        <v>126</v>
      </c>
      <c r="D74" s="5" t="s">
        <v>9</v>
      </c>
      <c r="E74" s="12" t="s">
        <v>1078</v>
      </c>
      <c r="F74" s="22" t="s">
        <v>20</v>
      </c>
      <c r="G74" s="12" t="s">
        <v>871</v>
      </c>
      <c r="H74" s="12" t="s">
        <v>127</v>
      </c>
      <c r="I74" s="12" t="s">
        <v>870</v>
      </c>
      <c r="J74" s="13" t="str">
        <f t="shared" si="41"/>
        <v>R0402</v>
      </c>
      <c r="K74" s="13" t="str">
        <f t="shared" si="42"/>
        <v>R-0402-7K5 F</v>
      </c>
      <c r="L74" s="12" t="str">
        <f t="shared" si="43"/>
        <v>R-0402-7K5 F</v>
      </c>
    </row>
    <row r="75" spans="1:12" x14ac:dyDescent="0.25">
      <c r="A75" s="12" t="s">
        <v>1089</v>
      </c>
      <c r="B75" s="12" t="s">
        <v>1090</v>
      </c>
      <c r="C75" s="12" t="s">
        <v>126</v>
      </c>
      <c r="D75" s="5" t="s">
        <v>9</v>
      </c>
      <c r="E75" s="12" t="s">
        <v>1091</v>
      </c>
      <c r="F75" s="22" t="s">
        <v>20</v>
      </c>
      <c r="G75" s="12" t="s">
        <v>871</v>
      </c>
      <c r="H75" s="12" t="s">
        <v>127</v>
      </c>
      <c r="I75" s="12" t="s">
        <v>870</v>
      </c>
      <c r="J75" s="13" t="str">
        <f t="shared" ref="J75" si="44">_xlfn.CONCAT("R",D75)</f>
        <v>R0402</v>
      </c>
      <c r="K75" s="13" t="str">
        <f t="shared" ref="K75" si="45">_xlfn.CONCAT("R-", D75,"-",E75," ",_xlfn.IFS(F75 ="±0,1", "B", F75 = "±0,25", "C", F75 = "±0,5", "D", F75 = "±1%", "F",F75="±2%","G",F75="±5%", "J", F75="±10%", "K", F75="±20%", "M"))</f>
        <v>R-0402-8K25 F</v>
      </c>
      <c r="L75" s="12" t="str">
        <f t="shared" ref="L75" si="46">K75</f>
        <v>R-0402-8K25 F</v>
      </c>
    </row>
    <row r="76" spans="1:12" x14ac:dyDescent="0.25">
      <c r="A76" s="12" t="s">
        <v>1092</v>
      </c>
      <c r="B76" s="12" t="s">
        <v>1093</v>
      </c>
      <c r="C76" s="12" t="s">
        <v>126</v>
      </c>
      <c r="D76" s="5" t="s">
        <v>9</v>
      </c>
      <c r="E76" s="12" t="s">
        <v>1094</v>
      </c>
      <c r="F76" s="22" t="s">
        <v>20</v>
      </c>
      <c r="G76" s="12" t="s">
        <v>871</v>
      </c>
      <c r="H76" s="12" t="s">
        <v>127</v>
      </c>
      <c r="I76" s="12" t="s">
        <v>870</v>
      </c>
      <c r="J76" s="13" t="str">
        <f t="shared" ref="J76:J80" si="47">_xlfn.CONCAT("R",D76)</f>
        <v>R0402</v>
      </c>
      <c r="K76" s="13" t="str">
        <f t="shared" ref="K76:K79" si="48">_xlfn.CONCAT("R-", D76,"-",E76," ",_xlfn.IFS(F76 ="±0,1", "B", F76 = "±0,25", "C", F76 = "±0,5", "D", F76 = "±1%", "F",F76="±2%","G",F76="±5%", "J", F76="±10%", "K", F76="±20%", "M"))</f>
        <v>R-0402-60K4 F</v>
      </c>
      <c r="L76" s="12" t="str">
        <f t="shared" ref="L76:L79" si="49">K76</f>
        <v>R-0402-60K4 F</v>
      </c>
    </row>
    <row r="77" spans="1:12" x14ac:dyDescent="0.25">
      <c r="A77" s="12" t="s">
        <v>1099</v>
      </c>
      <c r="B77" s="3" t="s">
        <v>1101</v>
      </c>
      <c r="C77" s="12" t="s">
        <v>126</v>
      </c>
      <c r="D77" s="12" t="s">
        <v>25</v>
      </c>
      <c r="E77" s="12" t="s">
        <v>131</v>
      </c>
      <c r="F77" s="22" t="s">
        <v>20</v>
      </c>
      <c r="G77" s="12" t="s">
        <v>871</v>
      </c>
      <c r="H77" s="12" t="s">
        <v>127</v>
      </c>
      <c r="I77" s="12" t="s">
        <v>870</v>
      </c>
      <c r="J77" s="13" t="str">
        <f t="shared" si="47"/>
        <v>R0201</v>
      </c>
      <c r="K77" s="13" t="str">
        <f t="shared" si="48"/>
        <v>R-0201-10K F</v>
      </c>
      <c r="L77" s="12" t="str">
        <f t="shared" si="49"/>
        <v>R-0201-10K F</v>
      </c>
    </row>
    <row r="78" spans="1:12" x14ac:dyDescent="0.25">
      <c r="A78" s="12" t="s">
        <v>1100</v>
      </c>
      <c r="B78" s="3" t="s">
        <v>1102</v>
      </c>
      <c r="C78" s="12" t="s">
        <v>126</v>
      </c>
      <c r="D78" s="5" t="s">
        <v>25</v>
      </c>
      <c r="E78" s="12" t="s">
        <v>743</v>
      </c>
      <c r="F78" s="22" t="s">
        <v>20</v>
      </c>
      <c r="G78" s="12" t="s">
        <v>871</v>
      </c>
      <c r="H78" s="12" t="s">
        <v>127</v>
      </c>
      <c r="I78" s="12" t="s">
        <v>870</v>
      </c>
      <c r="J78" s="13" t="str">
        <f t="shared" si="47"/>
        <v>R0201</v>
      </c>
      <c r="K78" s="13" t="str">
        <f t="shared" si="48"/>
        <v>R-0201-4K99 F</v>
      </c>
      <c r="L78" s="12" t="str">
        <f t="shared" si="49"/>
        <v>R-0201-4K99 F</v>
      </c>
    </row>
    <row r="79" spans="1:12" x14ac:dyDescent="0.25">
      <c r="A79" s="12" t="s">
        <v>1103</v>
      </c>
      <c r="B79" s="3" t="s">
        <v>1123</v>
      </c>
      <c r="C79" s="12" t="s">
        <v>126</v>
      </c>
      <c r="D79" s="5" t="s">
        <v>25</v>
      </c>
      <c r="E79" s="12" t="s">
        <v>746</v>
      </c>
      <c r="F79" s="22" t="s">
        <v>20</v>
      </c>
      <c r="G79" s="12" t="s">
        <v>871</v>
      </c>
      <c r="H79" s="12" t="s">
        <v>127</v>
      </c>
      <c r="I79" s="12" t="s">
        <v>870</v>
      </c>
      <c r="J79" s="13" t="str">
        <f t="shared" si="47"/>
        <v>R0201</v>
      </c>
      <c r="K79" s="13" t="str">
        <f t="shared" si="48"/>
        <v>R-0201-18K2 F</v>
      </c>
      <c r="L79" s="12" t="str">
        <f t="shared" si="49"/>
        <v>R-0201-18K2 F</v>
      </c>
    </row>
    <row r="80" spans="1:12" x14ac:dyDescent="0.25">
      <c r="A80" s="12" t="s">
        <v>1122</v>
      </c>
      <c r="B80" s="3" t="s">
        <v>1124</v>
      </c>
      <c r="C80" s="12" t="s">
        <v>126</v>
      </c>
      <c r="D80" s="5" t="s">
        <v>25</v>
      </c>
      <c r="E80" s="12" t="s">
        <v>348</v>
      </c>
      <c r="F80" s="22" t="s">
        <v>20</v>
      </c>
      <c r="G80" s="12" t="s">
        <v>871</v>
      </c>
      <c r="H80" s="12" t="s">
        <v>127</v>
      </c>
      <c r="I80" s="12" t="s">
        <v>870</v>
      </c>
      <c r="J80" s="13" t="str">
        <f t="shared" si="47"/>
        <v>R0201</v>
      </c>
      <c r="K80" s="13" t="str">
        <f t="shared" ref="K80" si="50">_xlfn.CONCAT("R-", D80,"-",E80," ",_xlfn.IFS(F80 ="±0,1", "B", F80 = "±0,25", "C", F80 = "±0,5", "D", F80 = "±1%", "F",F80="±2%","G",F80="±5%", "J", F80="±10%", "K", F80="±20%", "M"))</f>
        <v>R-0201-2K F</v>
      </c>
      <c r="L80" s="12" t="str">
        <f t="shared" ref="L80" si="51">K80</f>
        <v>R-0201-2K F</v>
      </c>
    </row>
    <row r="81" spans="1:12" x14ac:dyDescent="0.25">
      <c r="A81" s="12" t="s">
        <v>1125</v>
      </c>
      <c r="B81" s="3" t="s">
        <v>1126</v>
      </c>
      <c r="C81" s="12" t="s">
        <v>126</v>
      </c>
      <c r="D81" s="5" t="s">
        <v>25</v>
      </c>
      <c r="E81" s="12" t="s">
        <v>1127</v>
      </c>
      <c r="F81" s="22" t="s">
        <v>20</v>
      </c>
      <c r="G81" s="12" t="s">
        <v>871</v>
      </c>
      <c r="H81" s="12" t="s">
        <v>127</v>
      </c>
      <c r="I81" s="12" t="s">
        <v>870</v>
      </c>
      <c r="J81" s="13" t="str">
        <f t="shared" ref="J81" si="52">_xlfn.CONCAT("R",D81)</f>
        <v>R0201</v>
      </c>
      <c r="K81" s="13" t="str">
        <f t="shared" ref="K81:K84" si="53">_xlfn.CONCAT("R-", D81,"-",E81," ",_xlfn.IFS(F81 ="±0,1", "B", F81 = "±0,25", "C", F81 = "±0,5", "D", F81 = "±1%", "F",F81="±2%","G",F81="±5%", "J", F81="±10%", "K", F81="±20%", "M"))</f>
        <v>R-0201-10K5 F</v>
      </c>
      <c r="L81" s="12" t="str">
        <f t="shared" ref="L81" si="54">K81</f>
        <v>R-0201-10K5 F</v>
      </c>
    </row>
    <row r="82" spans="1:12" x14ac:dyDescent="0.25">
      <c r="A82" s="12" t="s">
        <v>1128</v>
      </c>
      <c r="B82" s="3" t="s">
        <v>1129</v>
      </c>
      <c r="C82" s="12" t="s">
        <v>126</v>
      </c>
      <c r="D82" s="5" t="s">
        <v>25</v>
      </c>
      <c r="E82" s="12" t="s">
        <v>1130</v>
      </c>
      <c r="F82" s="22" t="s">
        <v>20</v>
      </c>
      <c r="G82" s="12" t="s">
        <v>871</v>
      </c>
      <c r="H82" s="12" t="s">
        <v>127</v>
      </c>
      <c r="I82" s="12" t="s">
        <v>870</v>
      </c>
      <c r="J82" s="13" t="str">
        <f t="shared" ref="J82" si="55">_xlfn.CONCAT("R",D82)</f>
        <v>R0201</v>
      </c>
      <c r="K82" s="13" t="str">
        <f t="shared" si="53"/>
        <v>R-0201-3K57 F</v>
      </c>
      <c r="L82" s="12" t="str">
        <f t="shared" ref="L82" si="56">K82</f>
        <v>R-0201-3K57 F</v>
      </c>
    </row>
    <row r="83" spans="1:12" x14ac:dyDescent="0.25">
      <c r="A83" s="12" t="s">
        <v>1131</v>
      </c>
      <c r="B83" s="3" t="s">
        <v>1132</v>
      </c>
      <c r="C83" s="12" t="s">
        <v>126</v>
      </c>
      <c r="D83" s="5" t="s">
        <v>25</v>
      </c>
      <c r="E83" s="12" t="s">
        <v>1133</v>
      </c>
      <c r="F83" s="22" t="s">
        <v>20</v>
      </c>
      <c r="G83" s="12" t="s">
        <v>871</v>
      </c>
      <c r="H83" s="12" t="s">
        <v>127</v>
      </c>
      <c r="I83" s="12" t="s">
        <v>870</v>
      </c>
      <c r="J83" s="13" t="str">
        <f t="shared" ref="J83:J84" si="57">_xlfn.CONCAT("R",D83)</f>
        <v>R0201</v>
      </c>
      <c r="K83" s="13" t="str">
        <f t="shared" si="53"/>
        <v>R-0201-1K15 F</v>
      </c>
      <c r="L83" s="12" t="str">
        <f t="shared" ref="L83:L84" si="58">K83</f>
        <v>R-0201-1K15 F</v>
      </c>
    </row>
    <row r="84" spans="1:12" x14ac:dyDescent="0.25">
      <c r="A84" s="12" t="s">
        <v>1169</v>
      </c>
      <c r="B84" s="3" t="s">
        <v>1168</v>
      </c>
      <c r="C84" s="12" t="s">
        <v>126</v>
      </c>
      <c r="D84" s="12" t="s">
        <v>25</v>
      </c>
      <c r="E84" s="12" t="s">
        <v>301</v>
      </c>
      <c r="F84" s="22" t="s">
        <v>20</v>
      </c>
      <c r="G84" s="12" t="s">
        <v>871</v>
      </c>
      <c r="H84" s="12" t="s">
        <v>127</v>
      </c>
      <c r="I84" s="12" t="s">
        <v>870</v>
      </c>
      <c r="J84" s="13" t="str">
        <f t="shared" si="57"/>
        <v>R0201</v>
      </c>
      <c r="K84" s="13" t="str">
        <f t="shared" si="53"/>
        <v>R-0201-33R F</v>
      </c>
      <c r="L84" s="12" t="str">
        <f t="shared" si="58"/>
        <v>R-0201-33R F</v>
      </c>
    </row>
    <row r="85" spans="1:12" x14ac:dyDescent="0.25">
      <c r="A85" s="12" t="s">
        <v>1182</v>
      </c>
      <c r="B85" s="3" t="s">
        <v>1183</v>
      </c>
      <c r="C85" s="12" t="s">
        <v>126</v>
      </c>
      <c r="D85" s="12" t="s">
        <v>9</v>
      </c>
      <c r="E85" s="12" t="s">
        <v>1180</v>
      </c>
      <c r="F85" s="22" t="s">
        <v>1184</v>
      </c>
      <c r="G85" s="12" t="s">
        <v>871</v>
      </c>
      <c r="H85" s="12" t="s">
        <v>127</v>
      </c>
      <c r="I85" s="12" t="s">
        <v>870</v>
      </c>
      <c r="J85" s="13" t="str">
        <f t="shared" ref="J85" si="59">_xlfn.CONCAT("R",D85)</f>
        <v>R0402</v>
      </c>
      <c r="K85" s="13" t="str">
        <f>_xlfn.CONCAT("R-", D85,"-",E85," ",_xlfn.IFS(F85 ="±0.1%", "B", F85 = "±0,25%", "C", F85 = "±0,5%", "D", F85 = "±1%", "F",F85="±2%","G",F85="±5%", "J", F85="±10%", "K", F85="±20%", "M"))</f>
        <v>R-0402-301R B</v>
      </c>
      <c r="L85" s="12" t="str">
        <f t="shared" ref="L85" si="60">K85</f>
        <v>R-0402-301R B</v>
      </c>
    </row>
    <row r="86" spans="1:12" x14ac:dyDescent="0.25">
      <c r="A86" s="12" t="s">
        <v>1187</v>
      </c>
      <c r="B86" s="3" t="s">
        <v>1185</v>
      </c>
      <c r="C86" s="12" t="s">
        <v>126</v>
      </c>
      <c r="D86" s="12" t="s">
        <v>9</v>
      </c>
      <c r="E86" s="12" t="s">
        <v>1181</v>
      </c>
      <c r="F86" s="22" t="s">
        <v>1184</v>
      </c>
      <c r="G86" s="12" t="s">
        <v>871</v>
      </c>
      <c r="H86" s="12" t="s">
        <v>127</v>
      </c>
      <c r="I86" s="12" t="s">
        <v>870</v>
      </c>
      <c r="J86" s="13" t="str">
        <f t="shared" ref="J86" si="61">_xlfn.CONCAT("R",D86)</f>
        <v>R0402</v>
      </c>
      <c r="K86" s="13" t="str">
        <f>_xlfn.CONCAT("R-", D86,"-",E86," ",_xlfn.IFS(F86 ="±0.1%", "B", F86 = "±0,25%", "C", F86 = "±0,5%", "D", F86 = "±1%", "F",F86="±2%","G",F86="±5%", "J", F86="±10%", "K", F86="±20%", "M"))</f>
        <v>R-0402-249R B</v>
      </c>
      <c r="L86" s="12" t="str">
        <f t="shared" ref="L86" si="62">K86</f>
        <v>R-0402-249R B</v>
      </c>
    </row>
    <row r="87" spans="1:12" x14ac:dyDescent="0.25">
      <c r="A87" s="12" t="s">
        <v>1188</v>
      </c>
      <c r="B87" s="3" t="s">
        <v>1186</v>
      </c>
      <c r="C87" s="12" t="s">
        <v>126</v>
      </c>
      <c r="D87" s="12" t="s">
        <v>9</v>
      </c>
      <c r="E87" s="12" t="s">
        <v>789</v>
      </c>
      <c r="F87" s="22" t="s">
        <v>1184</v>
      </c>
      <c r="G87" s="12" t="s">
        <v>871</v>
      </c>
      <c r="H87" s="12" t="s">
        <v>127</v>
      </c>
      <c r="I87" s="12" t="s">
        <v>870</v>
      </c>
      <c r="J87" s="13" t="str">
        <f t="shared" ref="J87" si="63">_xlfn.CONCAT("R",D87)</f>
        <v>R0402</v>
      </c>
      <c r="K87" s="13" t="str">
        <f>_xlfn.CONCAT("R-", D87,"-",E87," ",_xlfn.IFS(F87 ="±0.1%", "B", F87 = "±0,25%", "C", F87 = "±0,5%", "D", F87 = "±1%", "F",F87="±2%","G",F87="±5%", "J", F87="±10%", "K", F87="±20%", "M"))</f>
        <v>R-0402-49R9 B</v>
      </c>
      <c r="L87" s="12" t="str">
        <f t="shared" ref="L87" si="64">K87</f>
        <v>R-0402-49R9 B</v>
      </c>
    </row>
    <row r="88" spans="1:12" x14ac:dyDescent="0.25">
      <c r="A88" s="12" t="s">
        <v>1189</v>
      </c>
      <c r="B88" s="3" t="s">
        <v>1190</v>
      </c>
      <c r="C88" s="12" t="s">
        <v>126</v>
      </c>
      <c r="D88" s="12" t="s">
        <v>9</v>
      </c>
      <c r="E88" s="12" t="s">
        <v>1191</v>
      </c>
      <c r="F88" s="22" t="s">
        <v>1184</v>
      </c>
      <c r="G88" s="12" t="s">
        <v>871</v>
      </c>
      <c r="H88" s="12" t="s">
        <v>127</v>
      </c>
      <c r="I88" s="12" t="s">
        <v>870</v>
      </c>
      <c r="J88" s="13" t="str">
        <f t="shared" ref="J88:J89" si="65">_xlfn.CONCAT("R",D88)</f>
        <v>R0402</v>
      </c>
      <c r="K88" s="13" t="str">
        <f>_xlfn.CONCAT("R-", D88,"-",E88," ",_xlfn.IFS(F88 ="±0.1%", "B", F88 = "±0,25%", "C", F88 = "±0,5%", "D", F88 = "±1%", "F",F88="±2%","G",F88="±5%", "J", F88="±10%", "K", F88="±20%", "M"))</f>
        <v>R-0402-25R B</v>
      </c>
      <c r="L88" s="12" t="str">
        <f t="shared" ref="L88:L89" si="66">K88</f>
        <v>R-0402-25R B</v>
      </c>
    </row>
    <row r="89" spans="1:12" x14ac:dyDescent="0.25">
      <c r="A89" s="12" t="s">
        <v>1198</v>
      </c>
      <c r="B89" s="3" t="s">
        <v>1200</v>
      </c>
      <c r="C89" s="12" t="s">
        <v>126</v>
      </c>
      <c r="D89" s="5" t="s">
        <v>9</v>
      </c>
      <c r="E89" s="12" t="s">
        <v>1199</v>
      </c>
      <c r="F89" s="22" t="s">
        <v>20</v>
      </c>
      <c r="G89" s="12" t="s">
        <v>871</v>
      </c>
      <c r="H89" s="12" t="s">
        <v>127</v>
      </c>
      <c r="I89" s="12" t="s">
        <v>870</v>
      </c>
      <c r="J89" s="13" t="str">
        <f t="shared" si="65"/>
        <v>R0402</v>
      </c>
      <c r="K89" s="13" t="str">
        <f t="shared" ref="K89" si="67">_xlfn.CONCAT("R-", D89,"-",E89," ",_xlfn.IFS(F89 ="±0,1", "B", F89 = "±0,25", "C", F89 = "±0,5", "D", F89 = "±1%", "F",F89="±2%","G",F89="±5%", "J", F89="±10%", "K", F89="±20%", "M"))</f>
        <v>R-0402-270R F</v>
      </c>
      <c r="L89" s="12" t="str">
        <f t="shared" si="66"/>
        <v>R-0402-270R F</v>
      </c>
    </row>
    <row r="90" spans="1:12" x14ac:dyDescent="0.25">
      <c r="A90" s="12" t="s">
        <v>1211</v>
      </c>
      <c r="B90" s="3" t="s">
        <v>1210</v>
      </c>
      <c r="C90" s="12" t="s">
        <v>126</v>
      </c>
      <c r="D90" s="5" t="s">
        <v>9</v>
      </c>
      <c r="E90" s="12" t="s">
        <v>1212</v>
      </c>
      <c r="F90" s="22" t="s">
        <v>20</v>
      </c>
      <c r="G90" s="12" t="s">
        <v>871</v>
      </c>
      <c r="H90" s="12" t="s">
        <v>127</v>
      </c>
      <c r="I90" s="12" t="s">
        <v>870</v>
      </c>
      <c r="J90" s="13" t="str">
        <f t="shared" ref="J90:J91" si="68">_xlfn.CONCAT("R",D90)</f>
        <v>R0402</v>
      </c>
      <c r="K90" s="13" t="str">
        <f t="shared" ref="K90:K91" si="69">_xlfn.CONCAT("R-", D90,"-",E90," ",_xlfn.IFS(F90 ="±0,1", "B", F90 = "±0,25", "C", F90 = "±0,5", "D", F90 = "±1%", "F",F90="±2%","G",F90="±5%", "J", F90="±10%", "K", F90="±20%", "M"))</f>
        <v>R-0402-47R F</v>
      </c>
      <c r="L90" s="12" t="str">
        <f t="shared" ref="L90:L91" si="70">K90</f>
        <v>R-0402-47R F</v>
      </c>
    </row>
    <row r="91" spans="1:12" x14ac:dyDescent="0.25">
      <c r="A91" s="12" t="s">
        <v>1223</v>
      </c>
      <c r="B91" s="12" t="s">
        <v>1224</v>
      </c>
      <c r="C91" s="12" t="s">
        <v>126</v>
      </c>
      <c r="D91" s="5" t="s">
        <v>9</v>
      </c>
      <c r="E91" s="12" t="s">
        <v>1225</v>
      </c>
      <c r="F91" s="22" t="s">
        <v>20</v>
      </c>
      <c r="G91" s="12" t="s">
        <v>871</v>
      </c>
      <c r="H91" s="12" t="s">
        <v>127</v>
      </c>
      <c r="I91" s="12" t="s">
        <v>870</v>
      </c>
      <c r="J91" s="13" t="str">
        <f t="shared" si="68"/>
        <v>R0402</v>
      </c>
      <c r="K91" s="13" t="str">
        <f t="shared" si="69"/>
        <v>R-0402-45K3 F</v>
      </c>
      <c r="L91" s="12" t="str">
        <f t="shared" si="70"/>
        <v>R-0402-45K3 F</v>
      </c>
    </row>
    <row r="92" spans="1:12" x14ac:dyDescent="0.25">
      <c r="A92" s="12" t="s">
        <v>1231</v>
      </c>
      <c r="B92" s="12" t="s">
        <v>1232</v>
      </c>
      <c r="C92" s="12" t="s">
        <v>126</v>
      </c>
      <c r="D92" s="5" t="s">
        <v>9</v>
      </c>
      <c r="E92" s="12" t="s">
        <v>1233</v>
      </c>
      <c r="F92" s="22" t="s">
        <v>20</v>
      </c>
      <c r="G92" s="12" t="s">
        <v>871</v>
      </c>
      <c r="H92" s="12" t="s">
        <v>127</v>
      </c>
      <c r="I92" s="12" t="s">
        <v>870</v>
      </c>
      <c r="J92" s="13" t="str">
        <f t="shared" ref="J92:J93" si="71">_xlfn.CONCAT("R",D92)</f>
        <v>R0402</v>
      </c>
      <c r="K92" s="13" t="str">
        <f t="shared" ref="K92" si="72">_xlfn.CONCAT("R-", D92,"-",E92," ",_xlfn.IFS(F92 ="±0,1", "B", F92 = "±0,25", "C", F92 = "±0,5", "D", F92 = "±1%", "F",F92="±2%","G",F92="±5%", "J", F92="±10%", "K", F92="±20%", "M"))</f>
        <v>R-0402-4K7 F</v>
      </c>
      <c r="L92" s="12" t="str">
        <f t="shared" ref="L92:L94" si="73">K92</f>
        <v>R-0402-4K7 F</v>
      </c>
    </row>
    <row r="93" spans="1:12" x14ac:dyDescent="0.25">
      <c r="A93" s="12" t="s">
        <v>1250</v>
      </c>
      <c r="B93" s="3" t="s">
        <v>1251</v>
      </c>
      <c r="C93" s="12" t="s">
        <v>126</v>
      </c>
      <c r="D93" s="12" t="s">
        <v>9</v>
      </c>
      <c r="E93" s="12" t="s">
        <v>1252</v>
      </c>
      <c r="F93" s="22" t="s">
        <v>1184</v>
      </c>
      <c r="G93" s="12" t="s">
        <v>871</v>
      </c>
      <c r="H93" s="12" t="s">
        <v>127</v>
      </c>
      <c r="I93" s="12" t="s">
        <v>870</v>
      </c>
      <c r="J93" s="13" t="str">
        <f t="shared" si="71"/>
        <v>R0402</v>
      </c>
      <c r="K93" s="13" t="str">
        <f>_xlfn.CONCAT("R-", D93,"-",E93," ",_xlfn.IFS(F93 ="±0.1%", "B", F93 = "±0,25%", "C", F93 = "±0,5%", "D", F93 = "±1%", "F",F93="±2%","G",F93="±5%", "J", F93="±10%", "K", F93="±20%", "M"))</f>
        <v>R-0402-90K9 B</v>
      </c>
      <c r="L93" s="12" t="str">
        <f t="shared" si="73"/>
        <v>R-0402-90K9 B</v>
      </c>
    </row>
    <row r="94" spans="1:12" x14ac:dyDescent="0.25">
      <c r="A94" s="12" t="s">
        <v>1319</v>
      </c>
      <c r="B94" s="3" t="s">
        <v>1320</v>
      </c>
      <c r="C94" s="12" t="s">
        <v>126</v>
      </c>
      <c r="D94" s="12" t="s">
        <v>12</v>
      </c>
      <c r="E94" s="12" t="s">
        <v>301</v>
      </c>
      <c r="F94" s="22" t="s">
        <v>20</v>
      </c>
      <c r="G94" s="12" t="s">
        <v>871</v>
      </c>
      <c r="H94" s="12" t="s">
        <v>127</v>
      </c>
      <c r="I94" s="12" t="s">
        <v>870</v>
      </c>
      <c r="J94" s="13" t="str">
        <f>_xlfn.CONCAT("R",D94)</f>
        <v>R0805</v>
      </c>
      <c r="K94" s="13" t="str">
        <f t="shared" ref="K94:K95" si="74">_xlfn.CONCAT("R-", D94,"-",E94," ",_xlfn.IFS(F94 ="±0,1", "B", F94 = "±0,25", "C", F94 = "±0,5", "D", F94 = "±1%", "F",F94="±2%","G",F94="±5%", "J", F94="±10%", "K", F94="±20%", "M"))</f>
        <v>R-0805-33R F</v>
      </c>
      <c r="L94" s="12" t="str">
        <f t="shared" si="73"/>
        <v>R-0805-33R F</v>
      </c>
    </row>
    <row r="95" spans="1:12" x14ac:dyDescent="0.25">
      <c r="A95" s="12" t="s">
        <v>1321</v>
      </c>
      <c r="B95" s="12" t="s">
        <v>1322</v>
      </c>
      <c r="C95" s="12" t="s">
        <v>126</v>
      </c>
      <c r="D95" s="5" t="s">
        <v>9</v>
      </c>
      <c r="E95" s="12" t="s">
        <v>1323</v>
      </c>
      <c r="F95" s="22" t="s">
        <v>20</v>
      </c>
      <c r="G95" s="12" t="s">
        <v>871</v>
      </c>
      <c r="H95" s="12" t="s">
        <v>127</v>
      </c>
      <c r="I95" s="12" t="s">
        <v>870</v>
      </c>
      <c r="J95" s="13" t="str">
        <f t="shared" ref="J95" si="75">_xlfn.CONCAT("R",D95)</f>
        <v>R0402</v>
      </c>
      <c r="K95" s="13" t="str">
        <f t="shared" si="74"/>
        <v>R-0402-3K92 F</v>
      </c>
      <c r="L95" s="12" t="str">
        <f t="shared" ref="L95" si="76">K95</f>
        <v>R-0402-3K92 F</v>
      </c>
    </row>
    <row r="96" spans="1:12" x14ac:dyDescent="0.25">
      <c r="A96" s="12" t="s">
        <v>1324</v>
      </c>
      <c r="B96" s="12" t="s">
        <v>1325</v>
      </c>
      <c r="C96" s="12" t="s">
        <v>126</v>
      </c>
      <c r="D96" s="5" t="s">
        <v>9</v>
      </c>
      <c r="E96" s="12" t="s">
        <v>1326</v>
      </c>
      <c r="F96" s="22" t="s">
        <v>20</v>
      </c>
      <c r="G96" s="12" t="s">
        <v>871</v>
      </c>
      <c r="H96" s="12" t="s">
        <v>127</v>
      </c>
      <c r="I96" s="12" t="s">
        <v>870</v>
      </c>
      <c r="J96" s="13" t="str">
        <f t="shared" ref="J96" si="77">_xlfn.CONCAT("R",D96)</f>
        <v>R0402</v>
      </c>
      <c r="K96" s="13" t="str">
        <f t="shared" ref="K96" si="78">_xlfn.CONCAT("R-", D96,"-",E96," ",_xlfn.IFS(F96 ="±0,1", "B", F96 = "±0,25", "C", F96 = "±0,5", "D", F96 = "±1%", "F",F96="±2%","G",F96="±5%", "J", F96="±10%", "K", F96="±20%", "M"))</f>
        <v>R-0402-9K53 F</v>
      </c>
      <c r="L96" s="12" t="str">
        <f t="shared" ref="L96" si="79">K96</f>
        <v>R-0402-9K53 F</v>
      </c>
    </row>
    <row r="97" spans="1:12" x14ac:dyDescent="0.25">
      <c r="A97" s="12" t="s">
        <v>1327</v>
      </c>
      <c r="B97" s="12" t="s">
        <v>1329</v>
      </c>
      <c r="C97" s="12" t="s">
        <v>126</v>
      </c>
      <c r="D97" s="5" t="s">
        <v>9</v>
      </c>
      <c r="E97" s="12" t="s">
        <v>1328</v>
      </c>
      <c r="F97" s="22" t="s">
        <v>20</v>
      </c>
      <c r="G97" s="12" t="s">
        <v>871</v>
      </c>
      <c r="H97" s="12" t="s">
        <v>127</v>
      </c>
      <c r="I97" s="12" t="s">
        <v>870</v>
      </c>
      <c r="J97" s="13" t="str">
        <f t="shared" ref="J97" si="80">_xlfn.CONCAT("R",D97)</f>
        <v>R0402</v>
      </c>
      <c r="K97" s="13" t="str">
        <f t="shared" ref="K97" si="81">_xlfn.CONCAT("R-", D97,"-",E97," ",_xlfn.IFS(F97 ="±0,1", "B", F97 = "±0,25", "C", F97 = "±0,5", "D", F97 = "±1%", "F",F97="±2%","G",F97="±5%", "J", F97="±10%", "K", F97="±20%", "M"))</f>
        <v>R-0402-5K11 F</v>
      </c>
      <c r="L97" s="12" t="str">
        <f t="shared" ref="L97" si="82">K97</f>
        <v>R-0402-5K11 F</v>
      </c>
    </row>
    <row r="98" spans="1:12" x14ac:dyDescent="0.25">
      <c r="A98" s="12" t="s">
        <v>1330</v>
      </c>
      <c r="B98" s="12" t="s">
        <v>1331</v>
      </c>
      <c r="C98" s="12" t="s">
        <v>126</v>
      </c>
      <c r="D98" s="5" t="s">
        <v>9</v>
      </c>
      <c r="E98" s="12" t="s">
        <v>1332</v>
      </c>
      <c r="F98" s="22" t="s">
        <v>20</v>
      </c>
      <c r="G98" s="12" t="s">
        <v>871</v>
      </c>
      <c r="H98" s="12" t="s">
        <v>127</v>
      </c>
      <c r="I98" s="12" t="s">
        <v>870</v>
      </c>
      <c r="J98" s="13" t="str">
        <f t="shared" ref="J98" si="83">_xlfn.CONCAT("R",D98)</f>
        <v>R0402</v>
      </c>
      <c r="K98" s="13" t="str">
        <f t="shared" ref="K98:K99" si="84">_xlfn.CONCAT("R-", D98,"-",E98," ",_xlfn.IFS(F98 ="±0,1", "B", F98 = "±0,25", "C", F98 = "±0,5", "D", F98 = "±1%", "F",F98="±2%","G",F98="±5%", "J", F98="±10%", "K", F98="±20%", "M"))</f>
        <v>R-0402-8K45 F</v>
      </c>
      <c r="L98" s="12" t="str">
        <f t="shared" ref="L98" si="85">K98</f>
        <v>R-0402-8K45 F</v>
      </c>
    </row>
    <row r="99" spans="1:12" x14ac:dyDescent="0.25">
      <c r="A99" s="12" t="s">
        <v>1337</v>
      </c>
      <c r="B99" s="14" t="s">
        <v>1338</v>
      </c>
      <c r="C99" s="12" t="s">
        <v>271</v>
      </c>
      <c r="D99" s="12" t="s">
        <v>1339</v>
      </c>
      <c r="E99" s="12" t="s">
        <v>1340</v>
      </c>
      <c r="F99" s="22" t="s">
        <v>20</v>
      </c>
      <c r="G99" s="12" t="s">
        <v>871</v>
      </c>
      <c r="H99" s="12" t="s">
        <v>127</v>
      </c>
      <c r="I99" s="12" t="s">
        <v>870</v>
      </c>
      <c r="J99" s="13" t="str">
        <f>_xlfn.CONCAT("R",D99)</f>
        <v>R1206</v>
      </c>
      <c r="K99" s="13" t="str">
        <f t="shared" si="84"/>
        <v>R-1206-0R05 F</v>
      </c>
      <c r="L99" s="12" t="str">
        <f>K99</f>
        <v>R-1206-0R05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6"/>
  <sheetViews>
    <sheetView zoomScaleNormal="100" workbookViewId="0">
      <selection activeCell="B21" sqref="B21"/>
    </sheetView>
  </sheetViews>
  <sheetFormatPr defaultColWidth="11.125" defaultRowHeight="15.75" x14ac:dyDescent="0.25"/>
  <cols>
    <col min="1" max="1" width="24" style="12" customWidth="1"/>
    <col min="2" max="2" width="67.75" style="12" bestFit="1" customWidth="1"/>
    <col min="3" max="3" width="30" style="12" bestFit="1" customWidth="1"/>
    <col min="4" max="4" width="9.5" style="12" customWidth="1"/>
    <col min="5" max="5" width="7.375" style="12" customWidth="1"/>
    <col min="6" max="6" width="28.125" style="12" customWidth="1"/>
    <col min="7" max="7" width="17.25" style="12" customWidth="1"/>
    <col min="8" max="8" width="24" style="12" customWidth="1"/>
    <col min="9" max="9" width="11.5" style="12" customWidth="1"/>
    <col min="10" max="10" width="31.5" style="12" customWidth="1"/>
    <col min="11" max="11" width="13.25" style="12" customWidth="1"/>
    <col min="12" max="12" width="21.875" style="12" bestFit="1" customWidth="1"/>
    <col min="13" max="13" width="24.25" style="12" customWidth="1"/>
    <col min="14" max="16384" width="11.125" style="12"/>
  </cols>
  <sheetData>
    <row r="1" spans="1:13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896</v>
      </c>
      <c r="G1" s="12" t="s">
        <v>888</v>
      </c>
      <c r="H1" s="12" t="s">
        <v>5</v>
      </c>
      <c r="I1" s="12" t="s">
        <v>6</v>
      </c>
      <c r="J1" s="12" t="s">
        <v>7</v>
      </c>
      <c r="K1" s="12" t="s">
        <v>8</v>
      </c>
      <c r="L1" s="21" t="s">
        <v>29</v>
      </c>
      <c r="M1" s="21" t="s">
        <v>35</v>
      </c>
    </row>
    <row r="2" spans="1:13" ht="20.100000000000001" customHeight="1" x14ac:dyDescent="0.25">
      <c r="A2" s="12" t="s">
        <v>193</v>
      </c>
      <c r="B2" s="3" t="s">
        <v>194</v>
      </c>
      <c r="C2" s="12" t="s">
        <v>192</v>
      </c>
      <c r="D2" s="12" t="s">
        <v>12</v>
      </c>
      <c r="E2" s="12" t="s">
        <v>340</v>
      </c>
      <c r="F2" t="s">
        <v>897</v>
      </c>
      <c r="G2" s="12" t="s">
        <v>889</v>
      </c>
      <c r="H2" s="2" t="s">
        <v>872</v>
      </c>
      <c r="I2" s="12" t="s">
        <v>13</v>
      </c>
      <c r="J2" s="12" t="s">
        <v>873</v>
      </c>
      <c r="K2" s="12" t="s">
        <v>62</v>
      </c>
      <c r="L2" s="13" t="str">
        <f t="shared" ref="L2:L14" si="0">_xlfn.CONCAT(_xlfn.IFS(I2 = "IND", "L-",I2 = "Ferrite", "F-"),A2)</f>
        <v>L-0805LS-471XJEC</v>
      </c>
      <c r="M2" s="13" t="str">
        <f t="shared" ref="M2:M14" si="1">L2</f>
        <v>L-0805LS-471XJEC</v>
      </c>
    </row>
    <row r="3" spans="1:13" ht="20.100000000000001" customHeight="1" x14ac:dyDescent="0.25">
      <c r="A3" s="2" t="s">
        <v>195</v>
      </c>
      <c r="B3" s="3" t="s">
        <v>196</v>
      </c>
      <c r="C3" s="12" t="s">
        <v>192</v>
      </c>
      <c r="D3" s="12" t="s">
        <v>9</v>
      </c>
      <c r="E3" s="12" t="s">
        <v>339</v>
      </c>
      <c r="F3" t="s">
        <v>897</v>
      </c>
      <c r="G3" s="12" t="s">
        <v>892</v>
      </c>
      <c r="H3" s="2" t="s">
        <v>872</v>
      </c>
      <c r="I3" s="12" t="s">
        <v>13</v>
      </c>
      <c r="J3" s="12" t="s">
        <v>873</v>
      </c>
      <c r="K3" s="12" t="s">
        <v>907</v>
      </c>
      <c r="L3" s="13" t="str">
        <f t="shared" si="0"/>
        <v>L-0402FL-181XJRW</v>
      </c>
      <c r="M3" s="13" t="str">
        <f t="shared" si="1"/>
        <v>L-0402FL-181XJRW</v>
      </c>
    </row>
    <row r="4" spans="1:13" ht="20.100000000000001" customHeight="1" x14ac:dyDescent="0.25">
      <c r="A4" s="2" t="s">
        <v>336</v>
      </c>
      <c r="B4" s="3" t="s">
        <v>337</v>
      </c>
      <c r="C4" s="12" t="s">
        <v>192</v>
      </c>
      <c r="D4" s="12" t="s">
        <v>9</v>
      </c>
      <c r="E4" s="12" t="s">
        <v>338</v>
      </c>
      <c r="F4" t="s">
        <v>897</v>
      </c>
      <c r="G4" s="12" t="s">
        <v>891</v>
      </c>
      <c r="H4" s="2" t="s">
        <v>872</v>
      </c>
      <c r="I4" s="12" t="s">
        <v>13</v>
      </c>
      <c r="J4" s="12" t="s">
        <v>873</v>
      </c>
      <c r="K4" s="12" t="s">
        <v>907</v>
      </c>
      <c r="L4" s="13" t="str">
        <f t="shared" si="0"/>
        <v>L-0402FL-360XJRW</v>
      </c>
      <c r="M4" s="13" t="str">
        <f t="shared" si="1"/>
        <v>L-0402FL-360XJRW</v>
      </c>
    </row>
    <row r="5" spans="1:13" ht="20.100000000000001" customHeight="1" x14ac:dyDescent="0.25">
      <c r="A5" s="2" t="s">
        <v>341</v>
      </c>
      <c r="B5" s="3" t="s">
        <v>342</v>
      </c>
      <c r="C5" s="12" t="s">
        <v>192</v>
      </c>
      <c r="D5" s="12" t="s">
        <v>9</v>
      </c>
      <c r="E5" s="12" t="s">
        <v>343</v>
      </c>
      <c r="F5" t="s">
        <v>897</v>
      </c>
      <c r="G5" s="12" t="s">
        <v>891</v>
      </c>
      <c r="H5" s="2" t="s">
        <v>872</v>
      </c>
      <c r="I5" s="12" t="s">
        <v>13</v>
      </c>
      <c r="J5" s="12" t="s">
        <v>873</v>
      </c>
      <c r="K5" s="12" t="s">
        <v>907</v>
      </c>
      <c r="L5" s="13" t="str">
        <f t="shared" si="0"/>
        <v>L-0402FL-200XJRW</v>
      </c>
      <c r="M5" s="13" t="str">
        <f t="shared" si="1"/>
        <v>L-0402FL-200XJRW</v>
      </c>
    </row>
    <row r="6" spans="1:13" ht="20.100000000000001" customHeight="1" x14ac:dyDescent="0.25">
      <c r="A6" s="12" t="s">
        <v>678</v>
      </c>
      <c r="B6" s="3" t="s">
        <v>910</v>
      </c>
      <c r="C6" s="12" t="s">
        <v>78</v>
      </c>
      <c r="D6" s="12" t="s">
        <v>11</v>
      </c>
      <c r="E6" s="12" t="s">
        <v>679</v>
      </c>
      <c r="F6" t="s">
        <v>897</v>
      </c>
      <c r="G6" s="12" t="s">
        <v>890</v>
      </c>
      <c r="H6" s="2" t="s">
        <v>872</v>
      </c>
      <c r="I6" s="12" t="s">
        <v>13</v>
      </c>
      <c r="J6" s="12" t="s">
        <v>873</v>
      </c>
      <c r="K6" s="12" t="s">
        <v>913</v>
      </c>
      <c r="L6" s="13" t="str">
        <f t="shared" si="0"/>
        <v>L-LQW18AN10NG00</v>
      </c>
      <c r="M6" s="13" t="str">
        <f t="shared" si="1"/>
        <v>L-LQW18AN10NG00</v>
      </c>
    </row>
    <row r="7" spans="1:13" x14ac:dyDescent="0.25">
      <c r="A7" s="2" t="s">
        <v>901</v>
      </c>
      <c r="B7" s="3" t="s">
        <v>902</v>
      </c>
      <c r="C7" s="12" t="s">
        <v>192</v>
      </c>
      <c r="D7" s="12" t="s">
        <v>9</v>
      </c>
      <c r="E7" s="12" t="s">
        <v>904</v>
      </c>
      <c r="F7" t="s">
        <v>897</v>
      </c>
      <c r="G7" s="31" t="s">
        <v>903</v>
      </c>
      <c r="H7" s="2" t="s">
        <v>872</v>
      </c>
      <c r="I7" s="12" t="s">
        <v>13</v>
      </c>
      <c r="J7" s="12" t="s">
        <v>873</v>
      </c>
      <c r="K7" s="12" t="s">
        <v>905</v>
      </c>
      <c r="L7" s="13" t="str">
        <f t="shared" si="0"/>
        <v>L-0402CS-39NXGLW</v>
      </c>
      <c r="M7" s="13" t="str">
        <f t="shared" si="1"/>
        <v>L-0402CS-39NXGLW</v>
      </c>
    </row>
    <row r="8" spans="1:13" x14ac:dyDescent="0.25">
      <c r="A8" s="2" t="s">
        <v>908</v>
      </c>
      <c r="B8" s="3" t="s">
        <v>911</v>
      </c>
      <c r="C8" s="12" t="s">
        <v>78</v>
      </c>
      <c r="D8" s="12" t="s">
        <v>11</v>
      </c>
      <c r="E8" s="12" t="s">
        <v>909</v>
      </c>
      <c r="F8" t="s">
        <v>897</v>
      </c>
      <c r="G8" s="12" t="s">
        <v>915</v>
      </c>
      <c r="H8" s="2" t="s">
        <v>872</v>
      </c>
      <c r="I8" s="12" t="s">
        <v>13</v>
      </c>
      <c r="J8" s="12" t="s">
        <v>873</v>
      </c>
      <c r="K8" s="12" t="s">
        <v>913</v>
      </c>
      <c r="L8" s="13" t="str">
        <f t="shared" si="0"/>
        <v>L-LQW18AN18NG00D</v>
      </c>
      <c r="M8" s="13" t="str">
        <f t="shared" si="1"/>
        <v>L-LQW18AN18NG00D</v>
      </c>
    </row>
    <row r="9" spans="1:13" x14ac:dyDescent="0.25">
      <c r="A9" s="12" t="s">
        <v>912</v>
      </c>
      <c r="B9" s="12" t="s">
        <v>931</v>
      </c>
      <c r="C9" s="12" t="s">
        <v>78</v>
      </c>
      <c r="D9" s="12" t="s">
        <v>9</v>
      </c>
      <c r="E9" s="12" t="s">
        <v>909</v>
      </c>
      <c r="F9" t="s">
        <v>897</v>
      </c>
      <c r="G9" s="12" t="s">
        <v>914</v>
      </c>
      <c r="H9" s="2" t="s">
        <v>872</v>
      </c>
      <c r="I9" s="12" t="s">
        <v>13</v>
      </c>
      <c r="J9" s="12" t="s">
        <v>873</v>
      </c>
      <c r="K9" s="12" t="s">
        <v>906</v>
      </c>
      <c r="L9" s="13" t="str">
        <f t="shared" si="0"/>
        <v>L-LQW15AN18NG00D</v>
      </c>
      <c r="M9" s="13" t="str">
        <f t="shared" si="1"/>
        <v>L-LQW15AN18NG00D</v>
      </c>
    </row>
    <row r="10" spans="1:13" x14ac:dyDescent="0.25">
      <c r="A10" s="12" t="s">
        <v>930</v>
      </c>
      <c r="B10" s="12" t="s">
        <v>932</v>
      </c>
      <c r="C10" s="12" t="s">
        <v>192</v>
      </c>
      <c r="D10" s="12" t="s">
        <v>12</v>
      </c>
      <c r="E10" s="12" t="s">
        <v>933</v>
      </c>
      <c r="F10" t="s">
        <v>897</v>
      </c>
      <c r="G10" s="12" t="s">
        <v>934</v>
      </c>
      <c r="H10" s="2" t="s">
        <v>872</v>
      </c>
      <c r="I10" s="12" t="s">
        <v>13</v>
      </c>
      <c r="J10" s="12" t="s">
        <v>873</v>
      </c>
      <c r="K10" s="12" t="s">
        <v>935</v>
      </c>
      <c r="L10" s="13" t="str">
        <f t="shared" si="0"/>
        <v>L-0805CS-030XJRC</v>
      </c>
      <c r="M10" s="13" t="str">
        <f t="shared" si="1"/>
        <v>L-0805CS-030XJRC</v>
      </c>
    </row>
    <row r="11" spans="1:13" x14ac:dyDescent="0.25">
      <c r="A11" s="12" t="s">
        <v>949</v>
      </c>
      <c r="B11" s="12" t="s">
        <v>950</v>
      </c>
      <c r="C11" s="12" t="s">
        <v>78</v>
      </c>
      <c r="D11" s="12" t="s">
        <v>25</v>
      </c>
      <c r="E11" s="12" t="s">
        <v>951</v>
      </c>
      <c r="F11" t="s">
        <v>897</v>
      </c>
      <c r="G11" s="12" t="s">
        <v>952</v>
      </c>
      <c r="H11" s="2" t="s">
        <v>872</v>
      </c>
      <c r="I11" s="12" t="s">
        <v>13</v>
      </c>
      <c r="J11" s="12" t="s">
        <v>873</v>
      </c>
      <c r="K11" s="12" t="s">
        <v>953</v>
      </c>
      <c r="L11" s="13" t="str">
        <f t="shared" si="0"/>
        <v>L-LQP03HQ1N5C02D</v>
      </c>
      <c r="M11" s="13" t="str">
        <f t="shared" si="1"/>
        <v>L-LQP03HQ1N5C02D</v>
      </c>
    </row>
    <row r="12" spans="1:13" x14ac:dyDescent="0.25">
      <c r="A12" s="12" t="s">
        <v>1159</v>
      </c>
      <c r="B12" s="12" t="s">
        <v>1161</v>
      </c>
      <c r="C12" s="12" t="s">
        <v>78</v>
      </c>
      <c r="D12" s="12" t="s">
        <v>25</v>
      </c>
      <c r="E12" s="12" t="s">
        <v>1160</v>
      </c>
      <c r="F12" t="s">
        <v>897</v>
      </c>
      <c r="G12" s="12" t="s">
        <v>1162</v>
      </c>
      <c r="H12" s="2" t="s">
        <v>872</v>
      </c>
      <c r="I12" s="12" t="s">
        <v>13</v>
      </c>
      <c r="J12" s="12" t="s">
        <v>873</v>
      </c>
      <c r="K12" s="12" t="s">
        <v>953</v>
      </c>
      <c r="L12" s="13" t="str">
        <f t="shared" si="0"/>
        <v>L-LQP03TN0N7C02J</v>
      </c>
      <c r="M12" s="13" t="str">
        <f t="shared" si="1"/>
        <v>L-LQP03TN0N7C02J</v>
      </c>
    </row>
    <row r="13" spans="1:13" x14ac:dyDescent="0.25">
      <c r="A13" s="12" t="s">
        <v>1192</v>
      </c>
      <c r="B13" s="12" t="s">
        <v>1193</v>
      </c>
      <c r="C13" s="12" t="s">
        <v>78</v>
      </c>
      <c r="D13" s="12" t="s">
        <v>9</v>
      </c>
      <c r="E13" s="12" t="s">
        <v>1194</v>
      </c>
      <c r="F13" t="s">
        <v>897</v>
      </c>
      <c r="G13" s="12" t="s">
        <v>914</v>
      </c>
      <c r="H13" s="2" t="s">
        <v>872</v>
      </c>
      <c r="I13" s="12" t="s">
        <v>13</v>
      </c>
      <c r="J13" s="12" t="s">
        <v>873</v>
      </c>
      <c r="K13" s="12" t="s">
        <v>906</v>
      </c>
      <c r="L13" s="13" t="str">
        <f t="shared" si="0"/>
        <v>L-LQW15AN43NJ00D</v>
      </c>
      <c r="M13" s="13" t="str">
        <f t="shared" si="1"/>
        <v>L-LQW15AN43NJ00D</v>
      </c>
    </row>
    <row r="14" spans="1:13" x14ac:dyDescent="0.25">
      <c r="A14" s="12" t="s">
        <v>1196</v>
      </c>
      <c r="B14" s="12" t="s">
        <v>1197</v>
      </c>
      <c r="C14" s="12" t="s">
        <v>78</v>
      </c>
      <c r="D14" s="12" t="s">
        <v>9</v>
      </c>
      <c r="E14" s="12" t="s">
        <v>339</v>
      </c>
      <c r="F14" t="s">
        <v>897</v>
      </c>
      <c r="G14" s="12" t="s">
        <v>1195</v>
      </c>
      <c r="H14" s="2" t="s">
        <v>872</v>
      </c>
      <c r="I14" s="12" t="s">
        <v>13</v>
      </c>
      <c r="J14" s="12" t="s">
        <v>873</v>
      </c>
      <c r="K14" s="12" t="s">
        <v>906</v>
      </c>
      <c r="L14" s="13" t="str">
        <f t="shared" si="0"/>
        <v>L-LQW15AWR18G80D</v>
      </c>
      <c r="M14" s="13" t="str">
        <f t="shared" si="1"/>
        <v>L-LQW15AWR18G80D</v>
      </c>
    </row>
    <row r="15" spans="1:13" x14ac:dyDescent="0.25">
      <c r="A15" s="12" t="s">
        <v>1213</v>
      </c>
      <c r="B15" s="12" t="s">
        <v>1214</v>
      </c>
      <c r="C15" s="12" t="s">
        <v>78</v>
      </c>
      <c r="D15" s="12" t="s">
        <v>9</v>
      </c>
      <c r="E15" s="12" t="s">
        <v>1215</v>
      </c>
      <c r="F15" t="s">
        <v>897</v>
      </c>
      <c r="G15" s="12" t="s">
        <v>1216</v>
      </c>
      <c r="H15" s="2" t="s">
        <v>872</v>
      </c>
      <c r="I15" s="12" t="s">
        <v>13</v>
      </c>
      <c r="J15" s="12" t="s">
        <v>873</v>
      </c>
      <c r="K15" s="12" t="s">
        <v>906</v>
      </c>
      <c r="L15" s="13" t="str">
        <f t="shared" ref="L15:L16" si="2">_xlfn.CONCAT(_xlfn.IFS(I15 = "IND", "L-",I15 = "Ferrite", "F-"),A15)</f>
        <v>L-LQW15AN62NJ00D</v>
      </c>
      <c r="M15" s="13" t="str">
        <f t="shared" ref="M15:M16" si="3">L15</f>
        <v>L-LQW15AN62NJ00D</v>
      </c>
    </row>
    <row r="16" spans="1:13" x14ac:dyDescent="0.25">
      <c r="A16" s="12" t="s">
        <v>1218</v>
      </c>
      <c r="B16" s="12" t="s">
        <v>1217</v>
      </c>
      <c r="C16" s="12" t="s">
        <v>78</v>
      </c>
      <c r="D16" s="12" t="s">
        <v>9</v>
      </c>
      <c r="E16" s="12" t="s">
        <v>339</v>
      </c>
      <c r="F16" t="s">
        <v>897</v>
      </c>
      <c r="G16" s="12" t="s">
        <v>1195</v>
      </c>
      <c r="H16" s="2" t="s">
        <v>872</v>
      </c>
      <c r="I16" s="12" t="s">
        <v>13</v>
      </c>
      <c r="J16" s="12" t="s">
        <v>873</v>
      </c>
      <c r="K16" s="12" t="s">
        <v>906</v>
      </c>
      <c r="L16" s="13" t="str">
        <f t="shared" si="2"/>
        <v>L-LQW15CNR20J0ZD</v>
      </c>
      <c r="M16" s="13" t="str">
        <f t="shared" si="3"/>
        <v>L-LQW15CNR20J0ZD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4"/>
  <sheetViews>
    <sheetView zoomScale="85" zoomScaleNormal="85" workbookViewId="0">
      <selection sqref="A1:K14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2" customForma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1" t="s">
        <v>35</v>
      </c>
    </row>
    <row r="2" spans="1:11" s="12" customFormat="1" ht="20.100000000000001" customHeight="1" x14ac:dyDescent="0.25">
      <c r="A2" s="12" t="s">
        <v>144</v>
      </c>
      <c r="B2" s="14" t="s">
        <v>145</v>
      </c>
      <c r="C2" s="3" t="s">
        <v>146</v>
      </c>
      <c r="D2" s="12" t="s">
        <v>203</v>
      </c>
      <c r="E2" s="3" t="s">
        <v>1015</v>
      </c>
      <c r="F2" s="2" t="s">
        <v>872</v>
      </c>
      <c r="G2" s="12" t="s">
        <v>13</v>
      </c>
      <c r="H2" s="12" t="s">
        <v>873</v>
      </c>
      <c r="I2" s="12" t="s">
        <v>204</v>
      </c>
      <c r="J2" s="13" t="str">
        <f>_xlfn.CONCAT(_xlfn.IFS(G2 = "IND", "L-",G2 = "Ferrite", "F-"),A2)</f>
        <v>L-74477020</v>
      </c>
      <c r="K2" s="13" t="str">
        <f>J2</f>
        <v>L-74477020</v>
      </c>
    </row>
    <row r="3" spans="1:11" s="12" customFormat="1" ht="20.100000000000001" customHeight="1" x14ac:dyDescent="0.25">
      <c r="A3" s="12" t="s">
        <v>171</v>
      </c>
      <c r="B3" s="3" t="s">
        <v>168</v>
      </c>
      <c r="C3" s="3" t="s">
        <v>169</v>
      </c>
      <c r="D3" s="12" t="s">
        <v>170</v>
      </c>
      <c r="E3" s="3" t="s">
        <v>1014</v>
      </c>
      <c r="F3" s="2" t="s">
        <v>872</v>
      </c>
      <c r="G3" s="12" t="s">
        <v>13</v>
      </c>
      <c r="H3" s="12" t="s">
        <v>873</v>
      </c>
      <c r="I3" s="12" t="s">
        <v>1082</v>
      </c>
      <c r="J3" s="13" t="str">
        <f t="shared" ref="J3:J14" si="0">_xlfn.CONCAT(_xlfn.IFS(G3 = "IND", "L-",G3 = "Ferrite", "F-"),A3)</f>
        <v>L-IHLP2525CZER100M5A</v>
      </c>
      <c r="K3" s="13" t="str">
        <f t="shared" ref="K3:K14" si="1">J3</f>
        <v>L-IHLP2525CZER100M5A</v>
      </c>
    </row>
    <row r="4" spans="1:11" s="12" customFormat="1" ht="20.100000000000001" customHeight="1" x14ac:dyDescent="0.25">
      <c r="A4" s="12" t="s">
        <v>416</v>
      </c>
      <c r="B4" s="14" t="s">
        <v>417</v>
      </c>
      <c r="C4" s="12" t="s">
        <v>418</v>
      </c>
      <c r="D4" s="12" t="s">
        <v>419</v>
      </c>
      <c r="E4" s="12" t="s">
        <v>1013</v>
      </c>
      <c r="F4" s="2" t="s">
        <v>872</v>
      </c>
      <c r="G4" s="12" t="s">
        <v>13</v>
      </c>
      <c r="H4" s="12" t="s">
        <v>873</v>
      </c>
      <c r="J4" s="13" t="str">
        <f t="shared" si="0"/>
        <v>L-PA5001.102NLT</v>
      </c>
      <c r="K4" s="13" t="str">
        <f t="shared" si="1"/>
        <v>L-PA5001.102NLT</v>
      </c>
    </row>
    <row r="5" spans="1:11" s="12" customFormat="1" ht="20.100000000000001" customHeight="1" x14ac:dyDescent="0.25">
      <c r="A5" s="2" t="s">
        <v>520</v>
      </c>
      <c r="B5" s="2" t="s">
        <v>521</v>
      </c>
      <c r="C5" s="12" t="s">
        <v>522</v>
      </c>
      <c r="D5" s="12" t="s">
        <v>523</v>
      </c>
      <c r="E5" s="12" t="s">
        <v>1012</v>
      </c>
      <c r="F5" s="2" t="s">
        <v>872</v>
      </c>
      <c r="G5" s="12" t="s">
        <v>13</v>
      </c>
      <c r="H5" s="12" t="s">
        <v>873</v>
      </c>
      <c r="J5" s="13" t="str">
        <f t="shared" si="0"/>
        <v>L-0618CDMCCDS-1R5MC</v>
      </c>
      <c r="K5" s="13" t="str">
        <f t="shared" si="1"/>
        <v>L-0618CDMCCDS-1R5MC</v>
      </c>
    </row>
    <row r="6" spans="1:11" s="12" customFormat="1" ht="20.100000000000001" customHeight="1" x14ac:dyDescent="0.25">
      <c r="A6" s="12" t="s">
        <v>817</v>
      </c>
      <c r="B6" s="24" t="s">
        <v>818</v>
      </c>
      <c r="C6" s="12" t="s">
        <v>146</v>
      </c>
      <c r="D6" s="12" t="s">
        <v>323</v>
      </c>
      <c r="E6" s="12" t="s">
        <v>819</v>
      </c>
      <c r="F6" s="2" t="s">
        <v>872</v>
      </c>
      <c r="G6" s="12" t="s">
        <v>13</v>
      </c>
      <c r="H6" s="12" t="s">
        <v>873</v>
      </c>
      <c r="I6" s="12" t="s">
        <v>862</v>
      </c>
      <c r="J6" s="13" t="str">
        <f t="shared" si="0"/>
        <v>L-744314047</v>
      </c>
      <c r="K6" s="13" t="str">
        <f t="shared" si="1"/>
        <v>L-744314047</v>
      </c>
    </row>
    <row r="7" spans="1:11" s="12" customFormat="1" ht="20.100000000000001" customHeight="1" x14ac:dyDescent="0.25">
      <c r="A7" s="12" t="s">
        <v>76</v>
      </c>
      <c r="B7" s="3" t="s">
        <v>77</v>
      </c>
      <c r="C7" s="12" t="s">
        <v>78</v>
      </c>
      <c r="D7" s="12" t="s">
        <v>9</v>
      </c>
      <c r="E7" s="3" t="s">
        <v>79</v>
      </c>
      <c r="F7" s="2" t="s">
        <v>872</v>
      </c>
      <c r="G7" s="12" t="s">
        <v>80</v>
      </c>
      <c r="H7" s="12" t="s">
        <v>873</v>
      </c>
      <c r="I7" s="12" t="s">
        <v>1080</v>
      </c>
      <c r="J7" s="13" t="str">
        <f t="shared" si="0"/>
        <v>F-BLM15GG471SN1D</v>
      </c>
      <c r="K7" s="13" t="str">
        <f t="shared" si="1"/>
        <v>F-BLM15GG471SN1D</v>
      </c>
    </row>
    <row r="8" spans="1:11" s="12" customFormat="1" ht="20.100000000000001" customHeight="1" x14ac:dyDescent="0.25">
      <c r="A8" s="12" t="s">
        <v>188</v>
      </c>
      <c r="B8" s="3" t="s">
        <v>189</v>
      </c>
      <c r="C8" s="12" t="s">
        <v>78</v>
      </c>
      <c r="D8" s="12" t="s">
        <v>11</v>
      </c>
      <c r="E8" s="2" t="s">
        <v>79</v>
      </c>
      <c r="F8" s="2" t="s">
        <v>872</v>
      </c>
      <c r="G8" s="12" t="s">
        <v>80</v>
      </c>
      <c r="H8" s="12" t="s">
        <v>873</v>
      </c>
      <c r="I8" s="12" t="s">
        <v>1163</v>
      </c>
      <c r="J8" s="13" t="str">
        <f t="shared" si="0"/>
        <v>F-BLM18PG471SN1D</v>
      </c>
      <c r="K8" s="13" t="str">
        <f t="shared" si="1"/>
        <v>F-BLM18PG471SN1D</v>
      </c>
    </row>
    <row r="9" spans="1:11" x14ac:dyDescent="0.25">
      <c r="A9" s="2" t="s">
        <v>919</v>
      </c>
      <c r="B9" s="2" t="s">
        <v>920</v>
      </c>
      <c r="C9" s="12" t="s">
        <v>78</v>
      </c>
      <c r="D9" s="12" t="s">
        <v>9</v>
      </c>
      <c r="E9" s="2" t="s">
        <v>921</v>
      </c>
      <c r="F9" s="2" t="s">
        <v>872</v>
      </c>
      <c r="G9" s="12" t="s">
        <v>80</v>
      </c>
      <c r="H9" s="12" t="s">
        <v>873</v>
      </c>
      <c r="I9" s="12" t="s">
        <v>1080</v>
      </c>
      <c r="J9" s="13" t="str">
        <f t="shared" si="0"/>
        <v>F-BLM15PD121SN1D</v>
      </c>
      <c r="K9" s="13" t="str">
        <f t="shared" si="1"/>
        <v>F-BLM15PD121SN1D</v>
      </c>
    </row>
    <row r="10" spans="1:11" x14ac:dyDescent="0.25">
      <c r="A10" s="2">
        <v>74439324015</v>
      </c>
      <c r="B10" s="2" t="s">
        <v>1011</v>
      </c>
      <c r="C10" s="12" t="s">
        <v>146</v>
      </c>
      <c r="D10" s="2">
        <v>4030</v>
      </c>
      <c r="E10" s="12" t="s">
        <v>524</v>
      </c>
      <c r="F10" s="2" t="s">
        <v>872</v>
      </c>
      <c r="G10" s="12" t="s">
        <v>13</v>
      </c>
      <c r="H10" s="12" t="s">
        <v>873</v>
      </c>
      <c r="I10" s="2" t="s">
        <v>1081</v>
      </c>
      <c r="J10" s="13" t="str">
        <f t="shared" si="0"/>
        <v>L-74439324015</v>
      </c>
      <c r="K10" s="13" t="str">
        <f t="shared" si="1"/>
        <v>L-74439324015</v>
      </c>
    </row>
    <row r="11" spans="1:11" x14ac:dyDescent="0.25">
      <c r="A11" s="2" t="s">
        <v>1031</v>
      </c>
      <c r="B11" s="3" t="s">
        <v>1034</v>
      </c>
      <c r="C11" s="3" t="s">
        <v>169</v>
      </c>
      <c r="D11" s="12" t="s">
        <v>170</v>
      </c>
      <c r="E11" s="3" t="s">
        <v>1037</v>
      </c>
      <c r="F11" s="2" t="s">
        <v>872</v>
      </c>
      <c r="G11" s="12" t="s">
        <v>13</v>
      </c>
      <c r="H11" s="12" t="s">
        <v>873</v>
      </c>
      <c r="I11" s="12" t="s">
        <v>1082</v>
      </c>
      <c r="J11" s="13" t="str">
        <f t="shared" si="0"/>
        <v>L-IHLP2525CZER2R2M01</v>
      </c>
      <c r="K11" s="13" t="str">
        <f t="shared" si="1"/>
        <v>L-IHLP2525CZER2R2M01</v>
      </c>
    </row>
    <row r="12" spans="1:11" x14ac:dyDescent="0.25">
      <c r="A12" s="2" t="s">
        <v>1032</v>
      </c>
      <c r="B12" s="3" t="s">
        <v>1035</v>
      </c>
      <c r="C12" s="3" t="s">
        <v>169</v>
      </c>
      <c r="D12" s="12" t="s">
        <v>170</v>
      </c>
      <c r="E12" s="3" t="s">
        <v>1038</v>
      </c>
      <c r="F12" s="2" t="s">
        <v>872</v>
      </c>
      <c r="G12" s="12" t="s">
        <v>13</v>
      </c>
      <c r="H12" s="12" t="s">
        <v>873</v>
      </c>
      <c r="I12" s="12" t="s">
        <v>1082</v>
      </c>
      <c r="J12" s="13" t="str">
        <f t="shared" si="0"/>
        <v>L-IHLP2525CZER4R7M01</v>
      </c>
      <c r="K12" s="13" t="str">
        <f t="shared" si="1"/>
        <v>L-IHLP2525CZER4R7M01</v>
      </c>
    </row>
    <row r="13" spans="1:11" x14ac:dyDescent="0.25">
      <c r="A13" s="2" t="s">
        <v>1033</v>
      </c>
      <c r="B13" s="3" t="s">
        <v>1036</v>
      </c>
      <c r="C13" s="3" t="s">
        <v>169</v>
      </c>
      <c r="D13" s="12" t="s">
        <v>170</v>
      </c>
      <c r="E13" s="3" t="s">
        <v>1039</v>
      </c>
      <c r="F13" s="2" t="s">
        <v>872</v>
      </c>
      <c r="G13" s="12" t="s">
        <v>13</v>
      </c>
      <c r="H13" s="12" t="s">
        <v>873</v>
      </c>
      <c r="I13" s="12" t="s">
        <v>1082</v>
      </c>
      <c r="J13" s="13" t="str">
        <f t="shared" si="0"/>
        <v>L-IHLP2525CZER1R0M01</v>
      </c>
      <c r="K13" s="13" t="str">
        <f t="shared" si="1"/>
        <v>L-IHLP2525CZER1R0M01</v>
      </c>
    </row>
    <row r="14" spans="1:11" x14ac:dyDescent="0.25">
      <c r="A14" s="2" t="s">
        <v>1155</v>
      </c>
      <c r="B14" s="2" t="s">
        <v>1156</v>
      </c>
      <c r="C14" s="3" t="s">
        <v>146</v>
      </c>
      <c r="D14" s="5" t="s">
        <v>12</v>
      </c>
      <c r="E14" s="2" t="s">
        <v>1157</v>
      </c>
      <c r="F14" s="2" t="s">
        <v>872</v>
      </c>
      <c r="G14" s="12" t="s">
        <v>80</v>
      </c>
      <c r="H14" s="12" t="s">
        <v>873</v>
      </c>
      <c r="I14" s="2" t="s">
        <v>1158</v>
      </c>
      <c r="J14" s="13" t="str">
        <f t="shared" si="0"/>
        <v>F-742792040 </v>
      </c>
      <c r="K14" s="13" t="str">
        <f t="shared" si="1"/>
        <v>F-742792040 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2" customFormat="1" x14ac:dyDescent="0.25">
      <c r="A1" s="10" t="s">
        <v>0</v>
      </c>
      <c r="B1" s="10" t="s">
        <v>1</v>
      </c>
      <c r="C1" s="10" t="s">
        <v>2</v>
      </c>
      <c r="D1" s="10" t="s">
        <v>5</v>
      </c>
      <c r="E1" s="10" t="s">
        <v>6</v>
      </c>
      <c r="F1" s="10" t="s">
        <v>7</v>
      </c>
      <c r="G1" s="10" t="s">
        <v>8</v>
      </c>
      <c r="H1" s="20" t="s">
        <v>29</v>
      </c>
      <c r="I1" s="20" t="s">
        <v>35</v>
      </c>
    </row>
    <row r="2" spans="1:9" x14ac:dyDescent="0.25">
      <c r="A2" s="8" t="s">
        <v>505</v>
      </c>
      <c r="B2" s="8" t="s">
        <v>506</v>
      </c>
      <c r="C2" s="10" t="s">
        <v>78</v>
      </c>
      <c r="D2" s="8" t="s">
        <v>886</v>
      </c>
      <c r="E2" s="10" t="s">
        <v>507</v>
      </c>
      <c r="F2" s="10"/>
      <c r="G2" s="10"/>
      <c r="H2" s="11" t="str">
        <f>_xlfn.CONCAT("Z-",A2)</f>
        <v>Z-BNX025H01L</v>
      </c>
      <c r="I2" s="11" t="str">
        <f>H2</f>
        <v>Z-BNX025H01L</v>
      </c>
    </row>
    <row r="3" spans="1:9" x14ac:dyDescent="0.25">
      <c r="A3" s="8" t="s">
        <v>509</v>
      </c>
      <c r="B3" s="8" t="s">
        <v>510</v>
      </c>
      <c r="C3" s="10" t="s">
        <v>78</v>
      </c>
      <c r="D3" s="8" t="s">
        <v>886</v>
      </c>
      <c r="E3" s="8" t="s">
        <v>508</v>
      </c>
      <c r="F3" s="8"/>
      <c r="G3" s="8"/>
      <c r="H3" s="11" t="str">
        <f>_xlfn.CONCAT("Z-",A3)</f>
        <v>Z-NFM41PC155B1E3</v>
      </c>
      <c r="I3" s="11" t="str">
        <f>H3</f>
        <v>Z-NFM41PC155B1E3</v>
      </c>
    </row>
    <row r="4" spans="1:9" s="12" customFormat="1" ht="20.100000000000001" customHeight="1" x14ac:dyDescent="0.25">
      <c r="A4" s="10" t="s">
        <v>76</v>
      </c>
      <c r="B4" s="23" t="s">
        <v>77</v>
      </c>
      <c r="C4" s="10" t="s">
        <v>78</v>
      </c>
      <c r="D4" s="8" t="s">
        <v>872</v>
      </c>
      <c r="E4" s="10" t="s">
        <v>80</v>
      </c>
      <c r="F4" s="10" t="s">
        <v>873</v>
      </c>
      <c r="G4" s="10" t="s">
        <v>9</v>
      </c>
      <c r="H4" s="11" t="s">
        <v>893</v>
      </c>
      <c r="I4" s="11" t="s">
        <v>893</v>
      </c>
    </row>
    <row r="5" spans="1:9" s="12" customFormat="1" ht="20.100000000000001" customHeight="1" x14ac:dyDescent="0.25">
      <c r="A5" s="10" t="s">
        <v>188</v>
      </c>
      <c r="B5" s="23" t="s">
        <v>189</v>
      </c>
      <c r="C5" s="10" t="s">
        <v>78</v>
      </c>
      <c r="D5" s="8" t="s">
        <v>872</v>
      </c>
      <c r="E5" s="10" t="s">
        <v>80</v>
      </c>
      <c r="F5" s="10" t="s">
        <v>873</v>
      </c>
      <c r="G5" s="10" t="s">
        <v>11</v>
      </c>
      <c r="H5" s="11" t="s">
        <v>894</v>
      </c>
      <c r="I5" s="11" t="s">
        <v>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79"/>
  <sheetViews>
    <sheetView topLeftCell="A22" zoomScale="55" zoomScaleNormal="55" workbookViewId="0">
      <selection activeCell="E63" sqref="E63"/>
    </sheetView>
  </sheetViews>
  <sheetFormatPr defaultColWidth="11" defaultRowHeight="15.75" x14ac:dyDescent="0.25"/>
  <cols>
    <col min="1" max="1" width="24" style="12" customWidth="1"/>
    <col min="2" max="2" width="68.625" style="12" customWidth="1"/>
    <col min="3" max="3" width="20.375" style="12" customWidth="1"/>
    <col min="4" max="4" width="12.625" style="12" bestFit="1" customWidth="1"/>
    <col min="5" max="5" width="40.75" style="12" customWidth="1"/>
    <col min="6" max="6" width="71.25" style="12" customWidth="1"/>
    <col min="7" max="7" width="18.375" style="12" bestFit="1" customWidth="1"/>
    <col min="8" max="9" width="21.75" style="2" bestFit="1" customWidth="1"/>
    <col min="10" max="10" width="20.125" style="2" customWidth="1"/>
    <col min="11" max="11" width="25.125" style="2" customWidth="1"/>
    <col min="12" max="12" width="11" style="2"/>
    <col min="13" max="13" width="8.75" style="2" customWidth="1"/>
    <col min="14" max="16384" width="11" style="2"/>
  </cols>
  <sheetData>
    <row r="1" spans="1:1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19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  <c r="L1" s="25"/>
    </row>
    <row r="2" spans="1:14" x14ac:dyDescent="0.25">
      <c r="A2" s="12" t="s">
        <v>928</v>
      </c>
      <c r="B2" s="12" t="s">
        <v>660</v>
      </c>
      <c r="C2" s="12" t="s">
        <v>240</v>
      </c>
      <c r="D2" s="2" t="s">
        <v>929</v>
      </c>
      <c r="E2" s="2" t="s">
        <v>976</v>
      </c>
      <c r="F2" s="12" t="s">
        <v>989</v>
      </c>
      <c r="G2" s="12" t="s">
        <v>928</v>
      </c>
      <c r="H2" s="12" t="s">
        <v>869</v>
      </c>
      <c r="I2" s="2" t="s">
        <v>929</v>
      </c>
      <c r="J2" s="12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2" t="s">
        <v>659</v>
      </c>
      <c r="B3" s="12" t="s">
        <v>660</v>
      </c>
      <c r="C3" s="12" t="s">
        <v>240</v>
      </c>
      <c r="D3" s="2" t="s">
        <v>257</v>
      </c>
      <c r="E3" s="2" t="s">
        <v>976</v>
      </c>
      <c r="F3" s="12" t="s">
        <v>989</v>
      </c>
      <c r="G3" s="12" t="s">
        <v>659</v>
      </c>
      <c r="H3" s="12" t="s">
        <v>869</v>
      </c>
      <c r="I3" s="12"/>
      <c r="J3" s="12" t="str">
        <f t="shared" si="0"/>
        <v>AVA-183P+</v>
      </c>
      <c r="K3" s="2" t="str">
        <f t="shared" si="1"/>
        <v>AVA-183P+</v>
      </c>
    </row>
    <row r="4" spans="1:14" x14ac:dyDescent="0.25">
      <c r="A4" s="12" t="s">
        <v>1005</v>
      </c>
      <c r="B4" s="12" t="s">
        <v>1008</v>
      </c>
      <c r="C4" s="12" t="s">
        <v>240</v>
      </c>
      <c r="D4" s="12" t="s">
        <v>1006</v>
      </c>
      <c r="E4" s="2" t="s">
        <v>976</v>
      </c>
      <c r="F4" s="12" t="s">
        <v>989</v>
      </c>
      <c r="G4" s="12" t="s">
        <v>1005</v>
      </c>
      <c r="H4" s="12" t="s">
        <v>869</v>
      </c>
      <c r="I4" s="12" t="s">
        <v>1006</v>
      </c>
      <c r="J4" s="12" t="str">
        <f t="shared" si="0"/>
        <v>AVA-6183MPS+</v>
      </c>
      <c r="K4" s="2" t="str">
        <f t="shared" si="1"/>
        <v>AVA-6183MPS+</v>
      </c>
    </row>
    <row r="5" spans="1:14" x14ac:dyDescent="0.25">
      <c r="A5" s="12" t="s">
        <v>33</v>
      </c>
      <c r="B5" s="12" t="s">
        <v>40</v>
      </c>
      <c r="C5" s="2" t="s">
        <v>34</v>
      </c>
      <c r="D5" s="2" t="s">
        <v>201</v>
      </c>
      <c r="E5" s="2" t="s">
        <v>976</v>
      </c>
      <c r="F5" s="12" t="s">
        <v>977</v>
      </c>
      <c r="G5" s="2" t="s">
        <v>33</v>
      </c>
      <c r="H5" s="12" t="s">
        <v>869</v>
      </c>
      <c r="I5" s="12" t="s">
        <v>200</v>
      </c>
      <c r="J5" s="12" t="str">
        <f t="shared" si="0"/>
        <v>CWDT8005</v>
      </c>
      <c r="K5" s="2" t="str">
        <f t="shared" si="1"/>
        <v>CWDT8005</v>
      </c>
    </row>
    <row r="6" spans="1:14" x14ac:dyDescent="0.25">
      <c r="A6" s="2" t="s">
        <v>251</v>
      </c>
      <c r="B6" s="2" t="s">
        <v>252</v>
      </c>
      <c r="C6" s="12" t="s">
        <v>254</v>
      </c>
      <c r="E6" s="2" t="s">
        <v>976</v>
      </c>
      <c r="F6" s="12" t="s">
        <v>989</v>
      </c>
      <c r="G6" s="12" t="s">
        <v>253</v>
      </c>
      <c r="H6" s="12" t="s">
        <v>869</v>
      </c>
      <c r="I6" s="12" t="s">
        <v>251</v>
      </c>
      <c r="J6" s="12" t="str">
        <f t="shared" si="0"/>
        <v>CWNPA-2735-P40-M</v>
      </c>
      <c r="K6" s="2" t="str">
        <f t="shared" si="1"/>
        <v>CWNPA-2735-P40-M</v>
      </c>
    </row>
    <row r="7" spans="1:14" x14ac:dyDescent="0.25">
      <c r="A7" s="2" t="s">
        <v>676</v>
      </c>
      <c r="B7" s="2" t="s">
        <v>677</v>
      </c>
      <c r="C7" s="12" t="s">
        <v>675</v>
      </c>
      <c r="D7" s="12" t="s">
        <v>223</v>
      </c>
      <c r="E7" s="2" t="s">
        <v>976</v>
      </c>
      <c r="F7" s="12" t="s">
        <v>989</v>
      </c>
      <c r="G7" s="12" t="s">
        <v>676</v>
      </c>
      <c r="H7" s="12" t="s">
        <v>869</v>
      </c>
      <c r="I7" s="12" t="s">
        <v>1043</v>
      </c>
      <c r="J7" s="12" t="str">
        <f t="shared" si="0"/>
        <v>CWS13101</v>
      </c>
      <c r="K7" s="2" t="str">
        <f t="shared" si="1"/>
        <v>CWS13101</v>
      </c>
    </row>
    <row r="8" spans="1:14" x14ac:dyDescent="0.25">
      <c r="A8" s="2" t="s">
        <v>674</v>
      </c>
      <c r="B8" s="2" t="s">
        <v>673</v>
      </c>
      <c r="C8" s="12" t="s">
        <v>675</v>
      </c>
      <c r="D8" s="12" t="s">
        <v>223</v>
      </c>
      <c r="E8" s="2" t="s">
        <v>976</v>
      </c>
      <c r="F8" s="12" t="s">
        <v>989</v>
      </c>
      <c r="G8" s="12" t="s">
        <v>674</v>
      </c>
      <c r="H8" s="12" t="s">
        <v>869</v>
      </c>
      <c r="I8" s="12" t="s">
        <v>1043</v>
      </c>
      <c r="J8" s="12" t="str">
        <f t="shared" si="0"/>
        <v>CWS13102</v>
      </c>
      <c r="K8" s="2" t="str">
        <f t="shared" si="1"/>
        <v>CWS13102</v>
      </c>
    </row>
    <row r="9" spans="1:14" x14ac:dyDescent="0.25">
      <c r="A9" s="2" t="s">
        <v>793</v>
      </c>
      <c r="B9" s="12" t="s">
        <v>795</v>
      </c>
      <c r="C9" s="12" t="s">
        <v>240</v>
      </c>
      <c r="D9" s="2" t="s">
        <v>794</v>
      </c>
      <c r="E9" s="2" t="s">
        <v>976</v>
      </c>
      <c r="F9" s="12" t="s">
        <v>989</v>
      </c>
      <c r="G9" s="12" t="s">
        <v>793</v>
      </c>
      <c r="H9" s="12" t="s">
        <v>869</v>
      </c>
      <c r="I9" s="12" t="s">
        <v>855</v>
      </c>
      <c r="J9" s="12" t="str">
        <f t="shared" si="0"/>
        <v>GVA-93+</v>
      </c>
      <c r="K9" s="2" t="str">
        <f t="shared" si="1"/>
        <v>GVA-93+</v>
      </c>
    </row>
    <row r="10" spans="1:14" x14ac:dyDescent="0.25">
      <c r="A10" s="2" t="s">
        <v>657</v>
      </c>
      <c r="B10" s="2" t="s">
        <v>658</v>
      </c>
      <c r="C10" s="12" t="s">
        <v>89</v>
      </c>
      <c r="D10" s="2" t="s">
        <v>426</v>
      </c>
      <c r="E10" s="2" t="s">
        <v>976</v>
      </c>
      <c r="F10" s="12" t="s">
        <v>989</v>
      </c>
      <c r="G10" s="12" t="s">
        <v>657</v>
      </c>
      <c r="H10" s="12" t="s">
        <v>869</v>
      </c>
      <c r="I10" s="12"/>
      <c r="J10" s="12" t="str">
        <f t="shared" si="0"/>
        <v>HMC451LP3</v>
      </c>
      <c r="K10" s="2" t="str">
        <f t="shared" si="1"/>
        <v>HMC451LP3</v>
      </c>
    </row>
    <row r="11" spans="1:14" s="12" customFormat="1" x14ac:dyDescent="0.25">
      <c r="A11" s="12" t="s">
        <v>39</v>
      </c>
      <c r="B11" s="2" t="s">
        <v>42</v>
      </c>
      <c r="C11" s="12" t="s">
        <v>43</v>
      </c>
      <c r="D11" s="12" t="s">
        <v>209</v>
      </c>
      <c r="E11" s="2" t="s">
        <v>976</v>
      </c>
      <c r="F11" s="12" t="s">
        <v>977</v>
      </c>
      <c r="G11" s="12" t="s">
        <v>39</v>
      </c>
      <c r="H11" s="12" t="s">
        <v>869</v>
      </c>
      <c r="I11" s="12" t="s">
        <v>210</v>
      </c>
      <c r="J11" s="12" t="str">
        <f t="shared" si="0"/>
        <v>IPA-0206B-CQ5B</v>
      </c>
      <c r="K11" s="2" t="str">
        <f t="shared" si="1"/>
        <v>IPA-0206B-CQ5B</v>
      </c>
      <c r="M11" s="2"/>
      <c r="N11" s="2"/>
    </row>
    <row r="12" spans="1:14" x14ac:dyDescent="0.25">
      <c r="A12" s="2" t="s">
        <v>916</v>
      </c>
      <c r="B12" s="12" t="s">
        <v>917</v>
      </c>
      <c r="C12" s="12" t="s">
        <v>240</v>
      </c>
      <c r="D12" s="32" t="s">
        <v>918</v>
      </c>
      <c r="E12" s="2" t="s">
        <v>976</v>
      </c>
      <c r="F12" s="12" t="s">
        <v>989</v>
      </c>
      <c r="G12" s="12" t="s">
        <v>916</v>
      </c>
      <c r="H12" s="12" t="s">
        <v>869</v>
      </c>
      <c r="I12" s="2" t="s">
        <v>918</v>
      </c>
      <c r="J12" s="12" t="str">
        <f t="shared" si="0"/>
        <v>LHA-1+</v>
      </c>
      <c r="K12" s="2" t="str">
        <f t="shared" si="1"/>
        <v>LHA-1+</v>
      </c>
    </row>
    <row r="13" spans="1:14" x14ac:dyDescent="0.25">
      <c r="A13" s="12" t="s">
        <v>1007</v>
      </c>
      <c r="B13" s="12" t="s">
        <v>1009</v>
      </c>
      <c r="C13" s="12" t="s">
        <v>240</v>
      </c>
      <c r="D13" s="12" t="s">
        <v>1010</v>
      </c>
      <c r="E13" s="2" t="s">
        <v>976</v>
      </c>
      <c r="F13" s="12" t="s">
        <v>989</v>
      </c>
      <c r="G13" s="12" t="s">
        <v>1007</v>
      </c>
      <c r="H13" s="12" t="s">
        <v>869</v>
      </c>
      <c r="I13" s="12" t="s">
        <v>1010</v>
      </c>
      <c r="J13" s="12" t="str">
        <f t="shared" si="0"/>
        <v>PMA2-183LN+</v>
      </c>
      <c r="K13" s="2" t="str">
        <f t="shared" si="1"/>
        <v>PMA2-183LN+</v>
      </c>
    </row>
    <row r="14" spans="1:14" x14ac:dyDescent="0.25">
      <c r="A14" s="12" t="s">
        <v>799</v>
      </c>
      <c r="B14" s="2" t="s">
        <v>800</v>
      </c>
      <c r="C14" s="12" t="s">
        <v>240</v>
      </c>
      <c r="D14" s="2" t="s">
        <v>257</v>
      </c>
      <c r="E14" s="2" t="s">
        <v>976</v>
      </c>
      <c r="F14" s="12" t="s">
        <v>989</v>
      </c>
      <c r="G14" s="12" t="s">
        <v>799</v>
      </c>
      <c r="H14" s="12" t="s">
        <v>869</v>
      </c>
      <c r="I14" s="12" t="s">
        <v>257</v>
      </c>
      <c r="J14" s="12" t="str">
        <f t="shared" si="0"/>
        <v>PMA3-83LN+</v>
      </c>
      <c r="K14" s="2" t="str">
        <f t="shared" si="1"/>
        <v>PMA3-83LN+</v>
      </c>
    </row>
    <row r="15" spans="1:14" x14ac:dyDescent="0.25">
      <c r="A15" s="12" t="s">
        <v>680</v>
      </c>
      <c r="B15" s="12" t="s">
        <v>681</v>
      </c>
      <c r="C15" s="12" t="s">
        <v>682</v>
      </c>
      <c r="D15" s="2" t="s">
        <v>503</v>
      </c>
      <c r="E15" s="2" t="s">
        <v>976</v>
      </c>
      <c r="F15" s="12" t="s">
        <v>989</v>
      </c>
      <c r="G15" s="12" t="s">
        <v>680</v>
      </c>
      <c r="H15" s="12" t="s">
        <v>869</v>
      </c>
      <c r="I15" s="12" t="s">
        <v>851</v>
      </c>
      <c r="J15" s="12" t="str">
        <f t="shared" si="0"/>
        <v>QPA1008</v>
      </c>
      <c r="K15" s="2" t="str">
        <f t="shared" si="1"/>
        <v>QPA1008</v>
      </c>
    </row>
    <row r="16" spans="1:14" x14ac:dyDescent="0.25">
      <c r="A16" s="12" t="s">
        <v>683</v>
      </c>
      <c r="B16" s="12" t="s">
        <v>684</v>
      </c>
      <c r="C16" s="12" t="s">
        <v>682</v>
      </c>
      <c r="D16" s="12" t="s">
        <v>120</v>
      </c>
      <c r="E16" s="2" t="s">
        <v>976</v>
      </c>
      <c r="F16" s="12" t="s">
        <v>989</v>
      </c>
      <c r="G16" s="12" t="s">
        <v>683</v>
      </c>
      <c r="H16" s="12" t="s">
        <v>869</v>
      </c>
      <c r="I16" s="12" t="s">
        <v>852</v>
      </c>
      <c r="J16" s="12" t="str">
        <f t="shared" si="0"/>
        <v>TQL9092</v>
      </c>
      <c r="K16" s="2" t="str">
        <f t="shared" si="1"/>
        <v>TQL9092</v>
      </c>
    </row>
    <row r="17" spans="1:11" x14ac:dyDescent="0.25">
      <c r="A17" s="2" t="s">
        <v>288</v>
      </c>
      <c r="B17" s="2" t="s">
        <v>289</v>
      </c>
      <c r="C17" s="12" t="s">
        <v>240</v>
      </c>
      <c r="D17" s="2" t="s">
        <v>290</v>
      </c>
      <c r="E17" s="2" t="s">
        <v>976</v>
      </c>
      <c r="F17" s="12" t="s">
        <v>989</v>
      </c>
      <c r="G17" s="2" t="s">
        <v>288</v>
      </c>
      <c r="H17" s="12" t="s">
        <v>869</v>
      </c>
      <c r="I17" s="2" t="s">
        <v>291</v>
      </c>
      <c r="J17" s="12" t="str">
        <f t="shared" si="0"/>
        <v>TSY-173LN+</v>
      </c>
      <c r="K17" s="2" t="str">
        <f t="shared" si="1"/>
        <v>TSY-173LN+</v>
      </c>
    </row>
    <row r="18" spans="1:11" x14ac:dyDescent="0.25">
      <c r="A18" s="2" t="s">
        <v>255</v>
      </c>
      <c r="B18" s="2" t="s">
        <v>256</v>
      </c>
      <c r="C18" s="12" t="s">
        <v>240</v>
      </c>
      <c r="D18" s="2" t="s">
        <v>257</v>
      </c>
      <c r="E18" s="2" t="s">
        <v>976</v>
      </c>
      <c r="F18" s="12" t="s">
        <v>989</v>
      </c>
      <c r="G18" s="2" t="s">
        <v>255</v>
      </c>
      <c r="H18" s="12" t="s">
        <v>869</v>
      </c>
      <c r="I18" s="12" t="s">
        <v>258</v>
      </c>
      <c r="J18" s="12" t="str">
        <f t="shared" si="0"/>
        <v>TSY-83LN+</v>
      </c>
      <c r="K18" s="2" t="str">
        <f t="shared" si="1"/>
        <v>TSY-83LN+</v>
      </c>
    </row>
    <row r="19" spans="1:11" x14ac:dyDescent="0.25">
      <c r="A19" s="12" t="s">
        <v>661</v>
      </c>
      <c r="B19" s="2" t="s">
        <v>293</v>
      </c>
      <c r="C19" s="12" t="s">
        <v>240</v>
      </c>
      <c r="D19" s="2" t="s">
        <v>291</v>
      </c>
      <c r="E19" s="2" t="s">
        <v>982</v>
      </c>
      <c r="F19" s="12" t="s">
        <v>990</v>
      </c>
      <c r="G19" s="12" t="s">
        <v>294</v>
      </c>
      <c r="H19" s="12" t="s">
        <v>869</v>
      </c>
      <c r="I19" s="2" t="s">
        <v>291</v>
      </c>
      <c r="J19" s="12" t="str">
        <f t="shared" si="0"/>
        <v>YAT-0A+</v>
      </c>
      <c r="K19" s="2" t="str">
        <f t="shared" si="1"/>
        <v>YAT-0A+</v>
      </c>
    </row>
    <row r="20" spans="1:11" x14ac:dyDescent="0.25">
      <c r="A20" s="12" t="s">
        <v>292</v>
      </c>
      <c r="B20" s="2" t="s">
        <v>293</v>
      </c>
      <c r="C20" s="12" t="s">
        <v>240</v>
      </c>
      <c r="D20" s="2" t="s">
        <v>291</v>
      </c>
      <c r="E20" s="2" t="s">
        <v>982</v>
      </c>
      <c r="F20" s="12" t="s">
        <v>990</v>
      </c>
      <c r="G20" s="12" t="s">
        <v>294</v>
      </c>
      <c r="H20" s="12" t="s">
        <v>869</v>
      </c>
      <c r="I20" s="2" t="s">
        <v>291</v>
      </c>
      <c r="J20" s="12" t="str">
        <f t="shared" si="0"/>
        <v>YAT-10A+</v>
      </c>
      <c r="K20" s="2" t="str">
        <f t="shared" si="1"/>
        <v>YAT-10A+</v>
      </c>
    </row>
    <row r="21" spans="1:11" x14ac:dyDescent="0.25">
      <c r="A21" s="12" t="s">
        <v>664</v>
      </c>
      <c r="B21" s="2" t="s">
        <v>293</v>
      </c>
      <c r="C21" s="12" t="s">
        <v>240</v>
      </c>
      <c r="D21" s="2" t="s">
        <v>291</v>
      </c>
      <c r="E21" s="2" t="s">
        <v>982</v>
      </c>
      <c r="F21" s="12" t="s">
        <v>990</v>
      </c>
      <c r="G21" s="12" t="s">
        <v>294</v>
      </c>
      <c r="H21" s="12" t="s">
        <v>869</v>
      </c>
      <c r="I21" s="2" t="s">
        <v>291</v>
      </c>
      <c r="J21" s="12" t="str">
        <f t="shared" si="0"/>
        <v>YAT-3A+</v>
      </c>
      <c r="K21" s="2" t="str">
        <f t="shared" si="1"/>
        <v>YAT-3A+</v>
      </c>
    </row>
    <row r="22" spans="1:11" x14ac:dyDescent="0.25">
      <c r="A22" s="12" t="s">
        <v>295</v>
      </c>
      <c r="B22" s="2" t="s">
        <v>293</v>
      </c>
      <c r="C22" s="12" t="s">
        <v>240</v>
      </c>
      <c r="D22" s="2" t="s">
        <v>291</v>
      </c>
      <c r="E22" s="2" t="s">
        <v>982</v>
      </c>
      <c r="F22" s="12" t="s">
        <v>990</v>
      </c>
      <c r="G22" s="12" t="s">
        <v>294</v>
      </c>
      <c r="H22" s="12" t="s">
        <v>869</v>
      </c>
      <c r="I22" s="2" t="s">
        <v>291</v>
      </c>
      <c r="J22" s="12" t="str">
        <f t="shared" si="0"/>
        <v>YAT-6A+</v>
      </c>
      <c r="K22" s="2" t="str">
        <f t="shared" si="1"/>
        <v>YAT-6A+</v>
      </c>
    </row>
    <row r="23" spans="1:11" x14ac:dyDescent="0.25">
      <c r="A23" s="2" t="s">
        <v>230</v>
      </c>
      <c r="B23" s="2" t="s">
        <v>231</v>
      </c>
      <c r="C23" s="12" t="s">
        <v>232</v>
      </c>
      <c r="D23" s="2" t="s">
        <v>233</v>
      </c>
      <c r="E23" s="2" t="s">
        <v>979</v>
      </c>
      <c r="F23" s="12" t="s">
        <v>986</v>
      </c>
      <c r="G23" s="2" t="s">
        <v>230</v>
      </c>
      <c r="H23" s="12" t="s">
        <v>869</v>
      </c>
      <c r="I23" s="2" t="s">
        <v>233</v>
      </c>
      <c r="J23" s="12" t="str">
        <f t="shared" si="0"/>
        <v>TRHJ-2041</v>
      </c>
      <c r="K23" s="2" t="str">
        <f t="shared" si="1"/>
        <v>TRHJ-2041</v>
      </c>
    </row>
    <row r="24" spans="1:11" x14ac:dyDescent="0.25">
      <c r="A24" s="2" t="s">
        <v>805</v>
      </c>
      <c r="B24" s="2" t="s">
        <v>842</v>
      </c>
      <c r="C24" s="12" t="s">
        <v>232</v>
      </c>
      <c r="D24" s="2" t="s">
        <v>804</v>
      </c>
      <c r="E24" s="2" t="s">
        <v>979</v>
      </c>
      <c r="F24" s="12" t="s">
        <v>986</v>
      </c>
      <c r="G24" s="2" t="s">
        <v>805</v>
      </c>
      <c r="H24" s="12" t="s">
        <v>869</v>
      </c>
      <c r="I24" s="2" t="s">
        <v>805</v>
      </c>
      <c r="J24" s="12" t="str">
        <f t="shared" si="0"/>
        <v>TRHJ-4061</v>
      </c>
      <c r="K24" s="2" t="str">
        <f t="shared" si="1"/>
        <v>TRHJ-4061</v>
      </c>
    </row>
    <row r="25" spans="1:11" x14ac:dyDescent="0.25">
      <c r="A25" s="12" t="s">
        <v>385</v>
      </c>
      <c r="B25" s="2" t="s">
        <v>386</v>
      </c>
      <c r="C25" s="2" t="s">
        <v>387</v>
      </c>
      <c r="D25" s="27">
        <v>1008</v>
      </c>
      <c r="E25" s="2" t="s">
        <v>981</v>
      </c>
      <c r="F25" s="12" t="s">
        <v>988</v>
      </c>
      <c r="G25" s="12" t="s">
        <v>388</v>
      </c>
      <c r="H25" s="12" t="s">
        <v>869</v>
      </c>
      <c r="I25" s="12" t="s">
        <v>388</v>
      </c>
      <c r="J25" s="12" t="str">
        <f t="shared" si="0"/>
        <v xml:space="preserve">3350BP39A0500001E </v>
      </c>
      <c r="K25" s="2" t="str">
        <f t="shared" si="1"/>
        <v xml:space="preserve">3350BP39A0500001E </v>
      </c>
    </row>
    <row r="26" spans="1:11" x14ac:dyDescent="0.25">
      <c r="A26" s="12" t="s">
        <v>999</v>
      </c>
      <c r="B26" s="12" t="s">
        <v>998</v>
      </c>
      <c r="C26" s="12" t="s">
        <v>240</v>
      </c>
      <c r="D26" s="12" t="s">
        <v>1000</v>
      </c>
      <c r="E26" s="2" t="s">
        <v>981</v>
      </c>
      <c r="F26" s="12" t="s">
        <v>988</v>
      </c>
      <c r="G26" s="12" t="s">
        <v>249</v>
      </c>
      <c r="H26" s="12" t="s">
        <v>869</v>
      </c>
      <c r="I26" s="2" t="s">
        <v>1000</v>
      </c>
      <c r="J26" s="12" t="str">
        <f t="shared" si="0"/>
        <v>BFCN-3700+</v>
      </c>
      <c r="K26" s="2" t="str">
        <f t="shared" si="1"/>
        <v>BFCN-3700+</v>
      </c>
    </row>
    <row r="27" spans="1:11" x14ac:dyDescent="0.25">
      <c r="A27" s="12" t="s">
        <v>801</v>
      </c>
      <c r="B27" s="2" t="s">
        <v>802</v>
      </c>
      <c r="C27" s="12" t="s">
        <v>240</v>
      </c>
      <c r="D27" s="2" t="s">
        <v>384</v>
      </c>
      <c r="E27" s="2" t="s">
        <v>981</v>
      </c>
      <c r="F27" s="12" t="s">
        <v>988</v>
      </c>
      <c r="G27" s="12" t="s">
        <v>249</v>
      </c>
      <c r="H27" s="12" t="s">
        <v>869</v>
      </c>
      <c r="I27" s="12" t="s">
        <v>384</v>
      </c>
      <c r="J27" s="12" t="str">
        <f t="shared" si="0"/>
        <v>BFCW-542+</v>
      </c>
      <c r="K27" s="2" t="str">
        <f t="shared" si="1"/>
        <v>BFCW-542+</v>
      </c>
    </row>
    <row r="28" spans="1:11" x14ac:dyDescent="0.25">
      <c r="A28" s="12" t="s">
        <v>1002</v>
      </c>
      <c r="B28" s="12" t="s">
        <v>1003</v>
      </c>
      <c r="C28" s="12" t="s">
        <v>240</v>
      </c>
      <c r="D28" s="12" t="s">
        <v>1004</v>
      </c>
      <c r="E28" s="2" t="s">
        <v>981</v>
      </c>
      <c r="F28" s="12" t="s">
        <v>988</v>
      </c>
      <c r="G28" s="12" t="s">
        <v>1001</v>
      </c>
      <c r="H28" s="12" t="s">
        <v>869</v>
      </c>
      <c r="I28" s="2" t="s">
        <v>1004</v>
      </c>
      <c r="J28" s="12" t="str">
        <f t="shared" si="0"/>
        <v>BFHKI-9901+</v>
      </c>
      <c r="K28" s="2" t="str">
        <f t="shared" si="1"/>
        <v>BFHKI-9901+</v>
      </c>
    </row>
    <row r="29" spans="1:11" x14ac:dyDescent="0.25">
      <c r="A29" s="2" t="s">
        <v>943</v>
      </c>
      <c r="B29" s="12" t="s">
        <v>944</v>
      </c>
      <c r="C29" s="12" t="s">
        <v>240</v>
      </c>
      <c r="D29" s="2" t="s">
        <v>390</v>
      </c>
      <c r="E29" s="2" t="s">
        <v>981</v>
      </c>
      <c r="F29" s="12" t="s">
        <v>988</v>
      </c>
      <c r="G29" s="12" t="s">
        <v>927</v>
      </c>
      <c r="H29" s="12" t="s">
        <v>869</v>
      </c>
      <c r="I29" s="2" t="s">
        <v>390</v>
      </c>
      <c r="J29" s="12" t="str">
        <f t="shared" si="0"/>
        <v>HFCN-7150+</v>
      </c>
      <c r="K29" s="2" t="str">
        <f t="shared" si="1"/>
        <v>HFCN-7150+</v>
      </c>
    </row>
    <row r="30" spans="1:11" x14ac:dyDescent="0.25">
      <c r="A30" s="12" t="s">
        <v>954</v>
      </c>
      <c r="B30" s="12" t="s">
        <v>955</v>
      </c>
      <c r="C30" s="12" t="s">
        <v>240</v>
      </c>
      <c r="D30" s="2" t="s">
        <v>926</v>
      </c>
      <c r="E30" s="2" t="s">
        <v>981</v>
      </c>
      <c r="F30" s="12" t="s">
        <v>988</v>
      </c>
      <c r="G30" s="12" t="s">
        <v>927</v>
      </c>
      <c r="H30" s="12" t="s">
        <v>869</v>
      </c>
      <c r="I30" s="8" t="s">
        <v>926</v>
      </c>
      <c r="J30" s="12" t="str">
        <f t="shared" si="0"/>
        <v>HFCW-1132+</v>
      </c>
      <c r="K30" s="2" t="str">
        <f t="shared" si="1"/>
        <v>HFCW-1132+</v>
      </c>
    </row>
    <row r="31" spans="1:11" x14ac:dyDescent="0.25">
      <c r="A31" s="2" t="s">
        <v>924</v>
      </c>
      <c r="B31" s="12" t="s">
        <v>925</v>
      </c>
      <c r="C31" s="12" t="s">
        <v>240</v>
      </c>
      <c r="D31" s="2" t="s">
        <v>926</v>
      </c>
      <c r="E31" s="2" t="s">
        <v>981</v>
      </c>
      <c r="F31" s="12" t="s">
        <v>988</v>
      </c>
      <c r="G31" s="12" t="s">
        <v>927</v>
      </c>
      <c r="H31" s="12" t="s">
        <v>869</v>
      </c>
      <c r="I31" s="8" t="s">
        <v>926</v>
      </c>
      <c r="J31" s="12" t="str">
        <f t="shared" si="0"/>
        <v>HFCW-9500+</v>
      </c>
      <c r="K31" s="2" t="str">
        <f t="shared" si="1"/>
        <v>HFCW-9500+</v>
      </c>
    </row>
    <row r="32" spans="1:11" x14ac:dyDescent="0.25">
      <c r="A32" s="12" t="s">
        <v>238</v>
      </c>
      <c r="B32" s="2" t="s">
        <v>239</v>
      </c>
      <c r="C32" s="12" t="s">
        <v>240</v>
      </c>
      <c r="D32" s="2" t="s">
        <v>241</v>
      </c>
      <c r="E32" s="2" t="s">
        <v>981</v>
      </c>
      <c r="F32" s="12" t="s">
        <v>988</v>
      </c>
      <c r="G32" s="12" t="s">
        <v>242</v>
      </c>
      <c r="H32" s="12" t="s">
        <v>869</v>
      </c>
      <c r="I32" s="12" t="s">
        <v>241</v>
      </c>
      <c r="J32" s="12" t="str">
        <f t="shared" si="0"/>
        <v>LFCG-2000+</v>
      </c>
      <c r="K32" s="2" t="str">
        <f t="shared" si="1"/>
        <v>LFCG-2000+</v>
      </c>
    </row>
    <row r="33" spans="1:11" x14ac:dyDescent="0.25">
      <c r="A33" s="12" t="s">
        <v>248</v>
      </c>
      <c r="B33" s="16"/>
      <c r="C33" s="12" t="s">
        <v>240</v>
      </c>
      <c r="D33" s="2" t="s">
        <v>250</v>
      </c>
      <c r="E33" s="2" t="s">
        <v>981</v>
      </c>
      <c r="F33" s="12" t="s">
        <v>988</v>
      </c>
      <c r="G33" s="12" t="s">
        <v>249</v>
      </c>
      <c r="H33" s="12" t="s">
        <v>869</v>
      </c>
      <c r="I33" s="2" t="s">
        <v>250</v>
      </c>
      <c r="J33" s="12" t="str">
        <f t="shared" si="0"/>
        <v>LFCN-1500D+</v>
      </c>
      <c r="K33" s="2" t="str">
        <f t="shared" si="1"/>
        <v>LFCN-1500D+</v>
      </c>
    </row>
    <row r="34" spans="1:11" x14ac:dyDescent="0.25">
      <c r="A34" s="2" t="s">
        <v>922</v>
      </c>
      <c r="B34" s="12" t="s">
        <v>923</v>
      </c>
      <c r="C34" s="12" t="s">
        <v>240</v>
      </c>
      <c r="D34" s="2" t="s">
        <v>250</v>
      </c>
      <c r="E34" s="2" t="s">
        <v>981</v>
      </c>
      <c r="F34" s="12" t="s">
        <v>988</v>
      </c>
      <c r="G34" s="12" t="s">
        <v>249</v>
      </c>
      <c r="H34" s="12" t="s">
        <v>869</v>
      </c>
      <c r="I34" s="2" t="s">
        <v>250</v>
      </c>
      <c r="J34" s="12" t="str">
        <f t="shared" ref="J34:J60" si="2">A34</f>
        <v>LFCN-5500D+</v>
      </c>
      <c r="K34" s="2" t="str">
        <f t="shared" ref="K34:K60" si="3">J34</f>
        <v>LFCN-5500D+</v>
      </c>
    </row>
    <row r="35" spans="1:11" x14ac:dyDescent="0.25">
      <c r="A35" s="12" t="s">
        <v>382</v>
      </c>
      <c r="B35" s="2" t="s">
        <v>383</v>
      </c>
      <c r="C35" s="12" t="s">
        <v>240</v>
      </c>
      <c r="D35" s="2" t="s">
        <v>384</v>
      </c>
      <c r="E35" s="2" t="s">
        <v>981</v>
      </c>
      <c r="F35" s="12" t="s">
        <v>988</v>
      </c>
      <c r="G35" s="12" t="s">
        <v>249</v>
      </c>
      <c r="H35" s="12" t="s">
        <v>869</v>
      </c>
      <c r="I35" s="2" t="s">
        <v>384</v>
      </c>
      <c r="J35" s="12" t="str">
        <f t="shared" si="2"/>
        <v xml:space="preserve">LFCW-8700+ </v>
      </c>
      <c r="K35" s="2" t="str">
        <f t="shared" si="3"/>
        <v xml:space="preserve">LFCW-8700+ </v>
      </c>
    </row>
    <row r="36" spans="1:11" x14ac:dyDescent="0.25">
      <c r="A36" s="12" t="s">
        <v>759</v>
      </c>
      <c r="B36" s="12" t="s">
        <v>760</v>
      </c>
      <c r="C36" s="12" t="s">
        <v>89</v>
      </c>
      <c r="D36" s="12" t="s">
        <v>761</v>
      </c>
      <c r="E36" s="2" t="s">
        <v>983</v>
      </c>
      <c r="F36" s="12" t="s">
        <v>991</v>
      </c>
      <c r="G36" s="2" t="s">
        <v>762</v>
      </c>
      <c r="H36" s="12" t="s">
        <v>869</v>
      </c>
      <c r="I36" s="2" t="s">
        <v>858</v>
      </c>
      <c r="J36" s="12" t="str">
        <f t="shared" si="2"/>
        <v>ADMV1013ACCZ</v>
      </c>
      <c r="K36" s="2" t="str">
        <f t="shared" si="3"/>
        <v>ADMV1013ACCZ</v>
      </c>
    </row>
    <row r="37" spans="1:11" x14ac:dyDescent="0.25">
      <c r="A37" s="12" t="s">
        <v>755</v>
      </c>
      <c r="B37" s="12" t="s">
        <v>758</v>
      </c>
      <c r="C37" s="12" t="s">
        <v>89</v>
      </c>
      <c r="D37" s="2" t="s">
        <v>756</v>
      </c>
      <c r="E37" s="2" t="s">
        <v>983</v>
      </c>
      <c r="F37" s="12" t="s">
        <v>991</v>
      </c>
      <c r="G37" s="2" t="s">
        <v>757</v>
      </c>
      <c r="H37" s="12" t="s">
        <v>869</v>
      </c>
      <c r="I37" s="12" t="s">
        <v>859</v>
      </c>
      <c r="J37" s="12" t="str">
        <f t="shared" si="2"/>
        <v>ADMV1014ACCZ</v>
      </c>
      <c r="K37" s="2" t="str">
        <f t="shared" si="3"/>
        <v>ADMV1014ACCZ</v>
      </c>
    </row>
    <row r="38" spans="1:11" x14ac:dyDescent="0.25">
      <c r="A38" s="12" t="s">
        <v>221</v>
      </c>
      <c r="B38" s="12" t="s">
        <v>222</v>
      </c>
      <c r="C38" s="12" t="s">
        <v>89</v>
      </c>
      <c r="D38" s="12" t="s">
        <v>223</v>
      </c>
      <c r="E38" s="2" t="s">
        <v>983</v>
      </c>
      <c r="F38" s="12" t="s">
        <v>991</v>
      </c>
      <c r="G38" s="12" t="s">
        <v>221</v>
      </c>
      <c r="H38" s="12" t="s">
        <v>869</v>
      </c>
      <c r="I38" s="12" t="s">
        <v>224</v>
      </c>
      <c r="J38" s="12" t="str">
        <f t="shared" si="2"/>
        <v>LTC5548</v>
      </c>
      <c r="K38" s="2" t="str">
        <f t="shared" si="3"/>
        <v>LTC5548</v>
      </c>
    </row>
    <row r="39" spans="1:11" x14ac:dyDescent="0.25">
      <c r="A39" s="12" t="s">
        <v>948</v>
      </c>
      <c r="B39" s="12" t="s">
        <v>956</v>
      </c>
      <c r="C39" s="12" t="s">
        <v>89</v>
      </c>
      <c r="D39" s="12" t="s">
        <v>223</v>
      </c>
      <c r="E39" s="2" t="s">
        <v>983</v>
      </c>
      <c r="F39" s="12" t="s">
        <v>991</v>
      </c>
      <c r="G39" s="12" t="s">
        <v>948</v>
      </c>
      <c r="H39" s="12" t="s">
        <v>869</v>
      </c>
      <c r="I39" s="12" t="s">
        <v>224</v>
      </c>
      <c r="J39" s="12" t="str">
        <f t="shared" si="2"/>
        <v>LTC5553</v>
      </c>
      <c r="K39" s="2" t="str">
        <f t="shared" si="3"/>
        <v>LTC5553</v>
      </c>
    </row>
    <row r="40" spans="1:11" x14ac:dyDescent="0.25">
      <c r="A40" s="12" t="s">
        <v>374</v>
      </c>
      <c r="B40" s="2" t="s">
        <v>375</v>
      </c>
      <c r="C40" s="12" t="s">
        <v>240</v>
      </c>
      <c r="D40" s="2" t="s">
        <v>376</v>
      </c>
      <c r="E40" s="2" t="s">
        <v>983</v>
      </c>
      <c r="F40" s="12" t="s">
        <v>991</v>
      </c>
      <c r="G40" s="12" t="s">
        <v>374</v>
      </c>
      <c r="H40" s="12" t="s">
        <v>869</v>
      </c>
      <c r="I40" s="2" t="s">
        <v>376</v>
      </c>
      <c r="J40" s="12" t="str">
        <f t="shared" si="2"/>
        <v>SMIQ-6243H+</v>
      </c>
      <c r="K40" s="2" t="str">
        <f t="shared" si="3"/>
        <v>SMIQ-6243H+</v>
      </c>
    </row>
    <row r="41" spans="1:11" x14ac:dyDescent="0.25">
      <c r="A41" s="12" t="s">
        <v>685</v>
      </c>
      <c r="B41" s="28" t="s">
        <v>686</v>
      </c>
      <c r="C41" s="12" t="s">
        <v>387</v>
      </c>
      <c r="D41" s="12" t="s">
        <v>687</v>
      </c>
      <c r="E41" s="2" t="s">
        <v>984</v>
      </c>
      <c r="F41" s="12" t="s">
        <v>992</v>
      </c>
      <c r="G41" s="12" t="s">
        <v>685</v>
      </c>
      <c r="H41" s="12" t="s">
        <v>869</v>
      </c>
      <c r="I41" s="12" t="s">
        <v>685</v>
      </c>
      <c r="J41" s="12" t="str">
        <f t="shared" si="2"/>
        <v>4400BL15A0100E</v>
      </c>
      <c r="K41" s="2" t="str">
        <f t="shared" si="3"/>
        <v>4400BL15A0100E</v>
      </c>
    </row>
    <row r="42" spans="1:11" x14ac:dyDescent="0.25">
      <c r="A42" s="12" t="s">
        <v>688</v>
      </c>
      <c r="B42" s="12" t="s">
        <v>689</v>
      </c>
      <c r="C42" s="12" t="s">
        <v>240</v>
      </c>
      <c r="D42" s="2" t="s">
        <v>690</v>
      </c>
      <c r="E42" s="2" t="s">
        <v>984</v>
      </c>
      <c r="F42" s="12" t="s">
        <v>992</v>
      </c>
      <c r="G42" s="12" t="s">
        <v>688</v>
      </c>
      <c r="H42" s="12" t="s">
        <v>869</v>
      </c>
      <c r="I42" s="2" t="s">
        <v>690</v>
      </c>
      <c r="J42" s="12" t="str">
        <f t="shared" si="2"/>
        <v>D17W+</v>
      </c>
      <c r="K42" s="2" t="str">
        <f t="shared" si="3"/>
        <v>D17W+</v>
      </c>
    </row>
    <row r="43" spans="1:11" x14ac:dyDescent="0.25">
      <c r="A43" s="12" t="s">
        <v>377</v>
      </c>
      <c r="B43" s="2" t="s">
        <v>378</v>
      </c>
      <c r="C43" s="12" t="s">
        <v>240</v>
      </c>
      <c r="D43" s="2" t="s">
        <v>376</v>
      </c>
      <c r="E43" s="2" t="s">
        <v>984</v>
      </c>
      <c r="F43" s="12" t="s">
        <v>992</v>
      </c>
      <c r="G43" s="12" t="s">
        <v>377</v>
      </c>
      <c r="H43" s="12" t="s">
        <v>869</v>
      </c>
      <c r="I43" s="2" t="s">
        <v>376</v>
      </c>
      <c r="J43" s="12" t="str">
        <f t="shared" si="2"/>
        <v>EP2C+</v>
      </c>
      <c r="K43" s="2" t="str">
        <f t="shared" si="3"/>
        <v>EP2C+</v>
      </c>
    </row>
    <row r="44" spans="1:11" x14ac:dyDescent="0.25">
      <c r="A44" s="12" t="s">
        <v>970</v>
      </c>
      <c r="B44" s="2" t="s">
        <v>971</v>
      </c>
      <c r="C44" s="12" t="s">
        <v>240</v>
      </c>
      <c r="D44" s="2" t="s">
        <v>376</v>
      </c>
      <c r="E44" s="2" t="s">
        <v>984</v>
      </c>
      <c r="F44" s="12" t="s">
        <v>992</v>
      </c>
      <c r="G44" s="12" t="s">
        <v>970</v>
      </c>
      <c r="H44" s="12" t="s">
        <v>869</v>
      </c>
      <c r="I44" s="2" t="s">
        <v>376</v>
      </c>
      <c r="J44" s="12" t="str">
        <f t="shared" si="2"/>
        <v>EP2K+</v>
      </c>
      <c r="K44" s="2" t="str">
        <f t="shared" si="3"/>
        <v>EP2K+</v>
      </c>
    </row>
    <row r="45" spans="1:11" x14ac:dyDescent="0.25">
      <c r="A45" s="12" t="s">
        <v>662</v>
      </c>
      <c r="B45" s="2" t="s">
        <v>389</v>
      </c>
      <c r="C45" s="12" t="s">
        <v>240</v>
      </c>
      <c r="D45" s="2" t="s">
        <v>663</v>
      </c>
      <c r="E45" s="2" t="s">
        <v>984</v>
      </c>
      <c r="F45" s="12" t="s">
        <v>992</v>
      </c>
      <c r="G45" s="12" t="s">
        <v>662</v>
      </c>
      <c r="H45" s="12" t="s">
        <v>869</v>
      </c>
      <c r="I45" s="12" t="s">
        <v>663</v>
      </c>
      <c r="J45" s="12" t="str">
        <f t="shared" si="2"/>
        <v>EP2KA+</v>
      </c>
      <c r="K45" s="2" t="str">
        <f t="shared" si="3"/>
        <v>EP2KA+</v>
      </c>
    </row>
    <row r="46" spans="1:11" x14ac:dyDescent="0.25">
      <c r="A46" s="2" t="s">
        <v>380</v>
      </c>
      <c r="B46" s="2" t="s">
        <v>381</v>
      </c>
      <c r="C46" s="12" t="s">
        <v>240</v>
      </c>
      <c r="D46" s="2" t="s">
        <v>379</v>
      </c>
      <c r="E46" s="2" t="s">
        <v>984</v>
      </c>
      <c r="F46" s="12" t="s">
        <v>992</v>
      </c>
      <c r="G46" s="12" t="s">
        <v>380</v>
      </c>
      <c r="H46" s="12" t="s">
        <v>869</v>
      </c>
      <c r="I46" s="12" t="s">
        <v>379</v>
      </c>
      <c r="J46" s="12" t="str">
        <f t="shared" si="2"/>
        <v>EP2RCW+</v>
      </c>
      <c r="K46" s="2" t="str">
        <f t="shared" si="3"/>
        <v>EP2RCW+</v>
      </c>
    </row>
    <row r="47" spans="1:11" x14ac:dyDescent="0.25">
      <c r="A47" s="12" t="s">
        <v>785</v>
      </c>
      <c r="B47" s="12" t="s">
        <v>786</v>
      </c>
      <c r="C47" s="12" t="s">
        <v>240</v>
      </c>
      <c r="D47" s="2" t="s">
        <v>379</v>
      </c>
      <c r="E47" s="2" t="s">
        <v>984</v>
      </c>
      <c r="F47" s="12" t="s">
        <v>992</v>
      </c>
      <c r="G47" s="12" t="s">
        <v>785</v>
      </c>
      <c r="H47" s="12" t="s">
        <v>869</v>
      </c>
      <c r="I47" s="12" t="s">
        <v>856</v>
      </c>
      <c r="J47" s="12" t="str">
        <f t="shared" si="2"/>
        <v>EP4RKU+</v>
      </c>
      <c r="K47" s="2" t="str">
        <f t="shared" si="3"/>
        <v>EP4RKU+</v>
      </c>
    </row>
    <row r="48" spans="1:11" x14ac:dyDescent="0.25">
      <c r="A48" s="2" t="s">
        <v>391</v>
      </c>
      <c r="B48" s="2" t="s">
        <v>389</v>
      </c>
      <c r="C48" s="12" t="s">
        <v>240</v>
      </c>
      <c r="D48" s="2" t="s">
        <v>390</v>
      </c>
      <c r="E48" s="2" t="s">
        <v>984</v>
      </c>
      <c r="F48" s="12" t="s">
        <v>992</v>
      </c>
      <c r="G48" s="12" t="s">
        <v>784</v>
      </c>
      <c r="H48" s="12" t="s">
        <v>869</v>
      </c>
      <c r="I48" s="12" t="s">
        <v>390</v>
      </c>
      <c r="J48" s="12" t="str">
        <f t="shared" si="2"/>
        <v>QCN-45+</v>
      </c>
      <c r="K48" s="2" t="str">
        <f t="shared" si="3"/>
        <v>QCN-45+</v>
      </c>
    </row>
    <row r="49" spans="1:11" x14ac:dyDescent="0.25">
      <c r="A49" s="2" t="s">
        <v>782</v>
      </c>
      <c r="B49" s="2" t="s">
        <v>389</v>
      </c>
      <c r="C49" s="12" t="s">
        <v>240</v>
      </c>
      <c r="D49" s="2" t="s">
        <v>783</v>
      </c>
      <c r="E49" s="2" t="s">
        <v>984</v>
      </c>
      <c r="F49" s="12" t="s">
        <v>992</v>
      </c>
      <c r="G49" s="12" t="s">
        <v>784</v>
      </c>
      <c r="H49" s="12" t="s">
        <v>869</v>
      </c>
      <c r="I49" s="12" t="s">
        <v>783</v>
      </c>
      <c r="J49" s="12" t="str">
        <f t="shared" si="2"/>
        <v>QCS-83+</v>
      </c>
      <c r="K49" s="2" t="str">
        <f t="shared" si="3"/>
        <v>QCS-83+</v>
      </c>
    </row>
    <row r="50" spans="1:11" x14ac:dyDescent="0.25">
      <c r="A50" s="12" t="s">
        <v>37</v>
      </c>
      <c r="B50" s="12" t="s">
        <v>41</v>
      </c>
      <c r="C50" s="12" t="s">
        <v>34</v>
      </c>
      <c r="D50" s="12" t="s">
        <v>38</v>
      </c>
      <c r="E50" s="2" t="s">
        <v>978</v>
      </c>
      <c r="F50" s="12" t="s">
        <v>44</v>
      </c>
      <c r="G50" s="12" t="s">
        <v>37</v>
      </c>
      <c r="H50" s="12" t="s">
        <v>869</v>
      </c>
      <c r="I50" s="12" t="s">
        <v>197</v>
      </c>
      <c r="J50" s="12" t="str">
        <f t="shared" si="2"/>
        <v>CWS23902</v>
      </c>
      <c r="K50" s="2" t="str">
        <f t="shared" si="3"/>
        <v>CWS23902</v>
      </c>
    </row>
    <row r="51" spans="1:11" x14ac:dyDescent="0.25">
      <c r="A51" s="12" t="s">
        <v>778</v>
      </c>
      <c r="B51" s="2" t="s">
        <v>779</v>
      </c>
      <c r="C51" s="12" t="s">
        <v>89</v>
      </c>
      <c r="D51" s="12" t="s">
        <v>780</v>
      </c>
      <c r="E51" s="2" t="s">
        <v>996</v>
      </c>
      <c r="F51" s="12" t="s">
        <v>997</v>
      </c>
      <c r="G51" s="12" t="s">
        <v>781</v>
      </c>
      <c r="H51" s="12" t="s">
        <v>869</v>
      </c>
      <c r="I51" s="12" t="s">
        <v>857</v>
      </c>
      <c r="J51" s="12" t="str">
        <f t="shared" si="2"/>
        <v>ADRF5024BCCZN</v>
      </c>
      <c r="K51" s="2" t="str">
        <f t="shared" si="3"/>
        <v>ADRF5024BCCZN</v>
      </c>
    </row>
    <row r="52" spans="1:11" x14ac:dyDescent="0.25">
      <c r="A52" s="12" t="s">
        <v>974</v>
      </c>
      <c r="B52" s="12" t="s">
        <v>975</v>
      </c>
      <c r="C52" s="12" t="s">
        <v>89</v>
      </c>
      <c r="D52" t="s">
        <v>994</v>
      </c>
      <c r="E52" s="12" t="s">
        <v>996</v>
      </c>
      <c r="F52" s="12" t="s">
        <v>997</v>
      </c>
      <c r="G52" s="12" t="s">
        <v>974</v>
      </c>
      <c r="H52" s="12" t="s">
        <v>869</v>
      </c>
      <c r="I52" s="2" t="s">
        <v>995</v>
      </c>
      <c r="J52" s="12" t="str">
        <f t="shared" si="2"/>
        <v>ADRF5238</v>
      </c>
      <c r="K52" s="2" t="str">
        <f t="shared" si="3"/>
        <v>ADRF5238</v>
      </c>
    </row>
    <row r="53" spans="1:11" x14ac:dyDescent="0.25">
      <c r="A53" s="12" t="s">
        <v>691</v>
      </c>
      <c r="B53" s="26" t="s">
        <v>692</v>
      </c>
      <c r="C53" s="12" t="s">
        <v>89</v>
      </c>
      <c r="D53" s="2" t="s">
        <v>693</v>
      </c>
      <c r="E53" s="2" t="s">
        <v>996</v>
      </c>
      <c r="F53" s="12" t="s">
        <v>997</v>
      </c>
      <c r="G53" s="12" t="s">
        <v>691</v>
      </c>
      <c r="H53" s="12" t="s">
        <v>869</v>
      </c>
      <c r="I53" s="12" t="s">
        <v>853</v>
      </c>
      <c r="J53" s="12" t="str">
        <f t="shared" si="2"/>
        <v>HMC544A</v>
      </c>
      <c r="K53" s="2" t="str">
        <f t="shared" si="3"/>
        <v>HMC544A</v>
      </c>
    </row>
    <row r="54" spans="1:11" x14ac:dyDescent="0.25">
      <c r="A54" s="12" t="s">
        <v>392</v>
      </c>
      <c r="B54" s="12" t="s">
        <v>393</v>
      </c>
      <c r="C54" s="12" t="s">
        <v>394</v>
      </c>
      <c r="D54" s="12" t="s">
        <v>395</v>
      </c>
      <c r="E54" s="2" t="s">
        <v>996</v>
      </c>
      <c r="F54" s="12" t="s">
        <v>997</v>
      </c>
      <c r="G54" s="12" t="s">
        <v>392</v>
      </c>
      <c r="H54" s="12" t="s">
        <v>869</v>
      </c>
      <c r="I54" s="12" t="s">
        <v>395</v>
      </c>
      <c r="J54" s="12" t="str">
        <f t="shared" si="2"/>
        <v>SKY13575-639LF</v>
      </c>
      <c r="K54" s="2" t="str">
        <f t="shared" si="3"/>
        <v>SKY13575-639LF</v>
      </c>
    </row>
    <row r="55" spans="1:11" x14ac:dyDescent="0.25">
      <c r="A55" s="2" t="s">
        <v>1109</v>
      </c>
      <c r="B55" s="12" t="s">
        <v>1108</v>
      </c>
      <c r="C55" s="12" t="s">
        <v>89</v>
      </c>
      <c r="D55" s="12" t="s">
        <v>1110</v>
      </c>
      <c r="E55" s="12" t="s">
        <v>996</v>
      </c>
      <c r="F55" s="12" t="s">
        <v>997</v>
      </c>
      <c r="G55" s="12" t="s">
        <v>1107</v>
      </c>
      <c r="H55" s="12" t="s">
        <v>869</v>
      </c>
      <c r="I55" s="12" t="s">
        <v>1110</v>
      </c>
      <c r="J55" s="12" t="str">
        <f t="shared" si="2"/>
        <v>ADRF5019BCPZN</v>
      </c>
      <c r="K55" s="12" t="str">
        <f>J55</f>
        <v>ADRF5019BCPZN</v>
      </c>
    </row>
    <row r="56" spans="1:11" x14ac:dyDescent="0.25">
      <c r="A56" s="12" t="s">
        <v>1151</v>
      </c>
      <c r="B56" s="12" t="s">
        <v>1108</v>
      </c>
      <c r="C56" s="12" t="s">
        <v>89</v>
      </c>
      <c r="D56" s="12" t="s">
        <v>1110</v>
      </c>
      <c r="E56" s="12" t="s">
        <v>996</v>
      </c>
      <c r="F56" s="12" t="s">
        <v>997</v>
      </c>
      <c r="G56" s="12" t="s">
        <v>1107</v>
      </c>
      <c r="H56" s="12" t="s">
        <v>869</v>
      </c>
      <c r="I56" s="12" t="s">
        <v>1110</v>
      </c>
      <c r="J56" s="12" t="str">
        <f t="shared" si="2"/>
        <v>HMC1118LP3DE</v>
      </c>
      <c r="K56" s="2" t="str">
        <f t="shared" si="3"/>
        <v>HMC1118LP3DE</v>
      </c>
    </row>
    <row r="57" spans="1:11" x14ac:dyDescent="0.25">
      <c r="A57" s="12" t="s">
        <v>234</v>
      </c>
      <c r="B57" s="2" t="s">
        <v>235</v>
      </c>
      <c r="C57" s="12" t="s">
        <v>89</v>
      </c>
      <c r="D57" s="2" t="s">
        <v>236</v>
      </c>
      <c r="E57" s="2" t="s">
        <v>980</v>
      </c>
      <c r="F57" s="12" t="s">
        <v>987</v>
      </c>
      <c r="G57" s="12" t="s">
        <v>237</v>
      </c>
      <c r="H57" s="12" t="s">
        <v>869</v>
      </c>
      <c r="I57" s="2" t="s">
        <v>236</v>
      </c>
      <c r="J57" s="12" t="str">
        <f t="shared" si="2"/>
        <v>ADF5356BCPZ</v>
      </c>
      <c r="K57" s="2" t="str">
        <f t="shared" si="3"/>
        <v>ADF5356BCPZ</v>
      </c>
    </row>
    <row r="58" spans="1:11" x14ac:dyDescent="0.25">
      <c r="A58" s="2" t="s">
        <v>309</v>
      </c>
      <c r="B58" s="2" t="s">
        <v>843</v>
      </c>
      <c r="C58" s="12" t="s">
        <v>98</v>
      </c>
      <c r="D58" s="2" t="s">
        <v>310</v>
      </c>
      <c r="E58" s="2" t="s">
        <v>980</v>
      </c>
      <c r="F58" s="12" t="s">
        <v>987</v>
      </c>
      <c r="G58" s="2" t="s">
        <v>309</v>
      </c>
      <c r="H58" s="12" t="s">
        <v>869</v>
      </c>
      <c r="I58" s="2" t="s">
        <v>335</v>
      </c>
      <c r="J58" s="12" t="str">
        <f t="shared" si="2"/>
        <v>LMX2594RHA</v>
      </c>
      <c r="K58" s="2" t="str">
        <f t="shared" si="3"/>
        <v>LMX2594RHA</v>
      </c>
    </row>
    <row r="59" spans="1:11" x14ac:dyDescent="0.25">
      <c r="A59" s="12" t="s">
        <v>671</v>
      </c>
      <c r="B59" s="2" t="s">
        <v>439</v>
      </c>
      <c r="C59" s="12" t="s">
        <v>89</v>
      </c>
      <c r="D59" s="2" t="s">
        <v>440</v>
      </c>
      <c r="E59" s="2" t="s">
        <v>985</v>
      </c>
      <c r="F59" s="12" t="s">
        <v>993</v>
      </c>
      <c r="G59" s="12" t="s">
        <v>672</v>
      </c>
      <c r="H59" s="12" t="s">
        <v>869</v>
      </c>
      <c r="I59" s="12" t="s">
        <v>1064</v>
      </c>
      <c r="J59" s="12" t="str">
        <f t="shared" si="2"/>
        <v>ADRV9025BBCZ</v>
      </c>
      <c r="K59" s="2" t="str">
        <f t="shared" si="3"/>
        <v>ADRV9025BBCZ</v>
      </c>
    </row>
    <row r="60" spans="1:11" x14ac:dyDescent="0.25">
      <c r="A60" s="12" t="s">
        <v>438</v>
      </c>
      <c r="B60" s="2" t="s">
        <v>439</v>
      </c>
      <c r="C60" s="12" t="s">
        <v>89</v>
      </c>
      <c r="D60" s="2" t="s">
        <v>440</v>
      </c>
      <c r="E60" s="2" t="s">
        <v>985</v>
      </c>
      <c r="F60" s="12" t="s">
        <v>993</v>
      </c>
      <c r="G60" s="12" t="s">
        <v>672</v>
      </c>
      <c r="H60" s="12" t="s">
        <v>869</v>
      </c>
      <c r="I60" s="12" t="s">
        <v>1064</v>
      </c>
      <c r="J60" s="12" t="str">
        <f t="shared" si="2"/>
        <v>ADRV9026BBCZ</v>
      </c>
      <c r="K60" s="2" t="str">
        <f t="shared" si="3"/>
        <v>ADRV9026BBCZ</v>
      </c>
    </row>
    <row r="61" spans="1:11" x14ac:dyDescent="0.25">
      <c r="A61" s="12" t="s">
        <v>1153</v>
      </c>
      <c r="B61" s="12" t="s">
        <v>1154</v>
      </c>
      <c r="C61" s="12" t="s">
        <v>89</v>
      </c>
      <c r="D61" s="12" t="s">
        <v>223</v>
      </c>
      <c r="E61" s="2" t="s">
        <v>983</v>
      </c>
      <c r="F61" s="12" t="s">
        <v>991</v>
      </c>
      <c r="G61" s="12" t="s">
        <v>221</v>
      </c>
      <c r="H61" s="12" t="s">
        <v>869</v>
      </c>
      <c r="I61" s="12" t="s">
        <v>224</v>
      </c>
      <c r="J61" s="12" t="str">
        <f t="shared" ref="J61:J63" si="4">A61</f>
        <v>LTC5552</v>
      </c>
      <c r="K61" s="2" t="str">
        <f t="shared" ref="K61:K63" si="5">J61</f>
        <v>LTC5552</v>
      </c>
    </row>
    <row r="62" spans="1:11" x14ac:dyDescent="0.25">
      <c r="A62" s="2" t="s">
        <v>1263</v>
      </c>
      <c r="B62" s="12" t="s">
        <v>1264</v>
      </c>
      <c r="C62" s="12" t="s">
        <v>240</v>
      </c>
      <c r="D62" s="2" t="s">
        <v>250</v>
      </c>
      <c r="E62" s="2" t="s">
        <v>981</v>
      </c>
      <c r="F62" s="12" t="s">
        <v>988</v>
      </c>
      <c r="G62" s="12" t="s">
        <v>249</v>
      </c>
      <c r="H62" s="12" t="s">
        <v>869</v>
      </c>
      <c r="I62" s="2" t="s">
        <v>250</v>
      </c>
      <c r="J62" s="12" t="str">
        <f t="shared" si="4"/>
        <v>LFCN-3000+</v>
      </c>
      <c r="K62" s="2" t="str">
        <f t="shared" si="5"/>
        <v>LFCN-3000+</v>
      </c>
    </row>
    <row r="63" spans="1:11" x14ac:dyDescent="0.25">
      <c r="A63" s="2" t="s">
        <v>1265</v>
      </c>
      <c r="B63" s="12" t="s">
        <v>1266</v>
      </c>
      <c r="C63" s="12" t="s">
        <v>240</v>
      </c>
      <c r="D63" s="2" t="s">
        <v>390</v>
      </c>
      <c r="E63" s="2" t="s">
        <v>981</v>
      </c>
      <c r="F63" s="12" t="s">
        <v>988</v>
      </c>
      <c r="G63" s="12" t="s">
        <v>927</v>
      </c>
      <c r="H63" s="12" t="s">
        <v>869</v>
      </c>
      <c r="I63" s="2" t="s">
        <v>390</v>
      </c>
      <c r="J63" s="12" t="str">
        <f t="shared" si="4"/>
        <v>HFCN-2700AD+</v>
      </c>
      <c r="K63" s="2" t="str">
        <f t="shared" si="5"/>
        <v>HFCN-2700AD+</v>
      </c>
    </row>
    <row r="64" spans="1:11" x14ac:dyDescent="0.25">
      <c r="A64" s="12" t="s">
        <v>1279</v>
      </c>
      <c r="B64" s="12" t="s">
        <v>1280</v>
      </c>
      <c r="C64" s="12" t="s">
        <v>89</v>
      </c>
      <c r="D64" s="12" t="s">
        <v>223</v>
      </c>
      <c r="E64" s="12" t="s">
        <v>983</v>
      </c>
      <c r="F64" s="12" t="s">
        <v>991</v>
      </c>
      <c r="G64" s="12" t="s">
        <v>1279</v>
      </c>
      <c r="H64" s="12" t="s">
        <v>869</v>
      </c>
      <c r="I64" s="12" t="s">
        <v>224</v>
      </c>
      <c r="J64" s="12" t="str">
        <f t="shared" ref="J64:J78" si="6">A64</f>
        <v>LTC5549</v>
      </c>
      <c r="K64" s="2" t="str">
        <f t="shared" ref="K64:K78" si="7">J64</f>
        <v>LTC5549</v>
      </c>
    </row>
    <row r="65" spans="1:13" x14ac:dyDescent="0.25">
      <c r="A65" s="12" t="s">
        <v>1281</v>
      </c>
      <c r="B65" s="12" t="s">
        <v>1292</v>
      </c>
      <c r="C65" s="12" t="s">
        <v>240</v>
      </c>
      <c r="D65" s="12" t="s">
        <v>257</v>
      </c>
      <c r="E65" s="2" t="s">
        <v>981</v>
      </c>
      <c r="F65" s="12" t="s">
        <v>988</v>
      </c>
      <c r="G65" s="12" t="s">
        <v>1293</v>
      </c>
      <c r="H65" s="12" t="s">
        <v>869</v>
      </c>
      <c r="I65" s="12" t="s">
        <v>257</v>
      </c>
      <c r="J65" s="12" t="str">
        <f t="shared" si="6"/>
        <v>XLF-662M+</v>
      </c>
      <c r="K65" s="2" t="str">
        <f t="shared" si="7"/>
        <v>XLF-662M+</v>
      </c>
    </row>
    <row r="66" spans="1:13" x14ac:dyDescent="0.25">
      <c r="A66" s="12" t="s">
        <v>1282</v>
      </c>
      <c r="B66" s="12" t="s">
        <v>1294</v>
      </c>
      <c r="C66" s="12" t="s">
        <v>240</v>
      </c>
      <c r="D66" s="12" t="s">
        <v>257</v>
      </c>
      <c r="E66" s="2" t="s">
        <v>981</v>
      </c>
      <c r="F66" s="12" t="s">
        <v>988</v>
      </c>
      <c r="G66" s="12" t="s">
        <v>1295</v>
      </c>
      <c r="H66" s="12" t="s">
        <v>869</v>
      </c>
      <c r="I66" s="12" t="s">
        <v>257</v>
      </c>
      <c r="J66" s="12" t="str">
        <f t="shared" si="6"/>
        <v>XHF-63M+</v>
      </c>
      <c r="K66" s="2" t="str">
        <f t="shared" si="7"/>
        <v>XHF-63M+</v>
      </c>
    </row>
    <row r="67" spans="1:13" x14ac:dyDescent="0.25">
      <c r="A67" s="12" t="s">
        <v>1283</v>
      </c>
      <c r="B67" s="12" t="s">
        <v>1296</v>
      </c>
      <c r="C67" s="12" t="s">
        <v>240</v>
      </c>
      <c r="D67" s="12" t="s">
        <v>257</v>
      </c>
      <c r="E67" s="2" t="s">
        <v>981</v>
      </c>
      <c r="F67" s="12" t="s">
        <v>988</v>
      </c>
      <c r="G67" s="12" t="s">
        <v>1295</v>
      </c>
      <c r="H67" s="12" t="s">
        <v>869</v>
      </c>
      <c r="I67" s="12" t="s">
        <v>257</v>
      </c>
      <c r="J67" s="12" t="str">
        <f t="shared" si="6"/>
        <v>XHF-73M+</v>
      </c>
      <c r="K67" s="2" t="str">
        <f t="shared" si="7"/>
        <v>XHF-73M+</v>
      </c>
    </row>
    <row r="68" spans="1:13" x14ac:dyDescent="0.25">
      <c r="A68" s="12" t="s">
        <v>1284</v>
      </c>
      <c r="B68" s="12" t="s">
        <v>1297</v>
      </c>
      <c r="C68" s="12" t="s">
        <v>240</v>
      </c>
      <c r="D68" s="12" t="s">
        <v>376</v>
      </c>
      <c r="E68" s="2" t="s">
        <v>981</v>
      </c>
      <c r="F68" s="12" t="s">
        <v>988</v>
      </c>
      <c r="G68" s="12" t="s">
        <v>1298</v>
      </c>
      <c r="H68" s="12" t="s">
        <v>869</v>
      </c>
      <c r="I68" s="12" t="s">
        <v>376</v>
      </c>
      <c r="J68" s="12" t="str">
        <f t="shared" si="6"/>
        <v>XLF-132H+</v>
      </c>
      <c r="K68" s="2" t="str">
        <f t="shared" si="7"/>
        <v>XLF-132H+</v>
      </c>
    </row>
    <row r="69" spans="1:13" x14ac:dyDescent="0.25">
      <c r="A69" s="12" t="s">
        <v>1285</v>
      </c>
      <c r="B69" s="12" t="s">
        <v>1299</v>
      </c>
      <c r="C69" s="12" t="s">
        <v>240</v>
      </c>
      <c r="D69" s="12" t="s">
        <v>929</v>
      </c>
      <c r="E69" s="2" t="s">
        <v>976</v>
      </c>
      <c r="F69" s="12" t="s">
        <v>989</v>
      </c>
      <c r="G69" s="12" t="s">
        <v>1285</v>
      </c>
      <c r="H69" s="12" t="s">
        <v>869</v>
      </c>
      <c r="I69" s="12" t="s">
        <v>929</v>
      </c>
      <c r="J69" s="12" t="str">
        <f t="shared" si="6"/>
        <v>MNA-4A+</v>
      </c>
      <c r="K69" s="2" t="str">
        <f t="shared" si="7"/>
        <v>MNA-4A+</v>
      </c>
    </row>
    <row r="70" spans="1:13" x14ac:dyDescent="0.25">
      <c r="A70" s="12" t="s">
        <v>1286</v>
      </c>
      <c r="B70" s="12" t="s">
        <v>1300</v>
      </c>
      <c r="C70" s="12" t="s">
        <v>1301</v>
      </c>
      <c r="D70" s="12" t="s">
        <v>1302</v>
      </c>
      <c r="E70" s="2" t="s">
        <v>981</v>
      </c>
      <c r="F70" s="12" t="s">
        <v>988</v>
      </c>
      <c r="G70" s="12" t="s">
        <v>1286</v>
      </c>
      <c r="H70" s="12" t="s">
        <v>869</v>
      </c>
      <c r="I70" s="12" t="s">
        <v>1286</v>
      </c>
      <c r="J70" s="12" t="str">
        <f t="shared" si="6"/>
        <v>TA0332A</v>
      </c>
      <c r="K70" s="2" t="str">
        <f t="shared" si="7"/>
        <v>TA0332A</v>
      </c>
    </row>
    <row r="71" spans="1:13" x14ac:dyDescent="0.25">
      <c r="A71" s="12" t="s">
        <v>1287</v>
      </c>
      <c r="B71" s="12" t="s">
        <v>1303</v>
      </c>
      <c r="C71" s="12" t="s">
        <v>240</v>
      </c>
      <c r="D71" s="12" t="s">
        <v>257</v>
      </c>
      <c r="E71" s="12" t="s">
        <v>976</v>
      </c>
      <c r="F71" s="12" t="s">
        <v>989</v>
      </c>
      <c r="G71" s="12" t="s">
        <v>1287</v>
      </c>
      <c r="H71" s="12" t="s">
        <v>869</v>
      </c>
      <c r="I71" s="12" t="s">
        <v>257</v>
      </c>
      <c r="J71" s="12" t="str">
        <f t="shared" si="6"/>
        <v>PVGA-123+</v>
      </c>
      <c r="K71" s="2" t="str">
        <f t="shared" si="7"/>
        <v>PVGA-123+</v>
      </c>
    </row>
    <row r="72" spans="1:13" x14ac:dyDescent="0.25">
      <c r="A72" s="12" t="s">
        <v>1288</v>
      </c>
      <c r="B72" s="12" t="s">
        <v>1304</v>
      </c>
      <c r="C72" s="12" t="s">
        <v>240</v>
      </c>
      <c r="D72" s="12" t="s">
        <v>1004</v>
      </c>
      <c r="E72" s="12" t="s">
        <v>981</v>
      </c>
      <c r="F72" s="12" t="s">
        <v>988</v>
      </c>
      <c r="G72" s="12" t="s">
        <v>1001</v>
      </c>
      <c r="H72" s="12" t="s">
        <v>869</v>
      </c>
      <c r="I72" s="2" t="s">
        <v>1004</v>
      </c>
      <c r="J72" s="12" t="str">
        <f t="shared" si="6"/>
        <v>BFHKI-8501+</v>
      </c>
      <c r="K72" s="2" t="str">
        <f t="shared" si="7"/>
        <v>BFHKI-8501+</v>
      </c>
    </row>
    <row r="73" spans="1:13" x14ac:dyDescent="0.25">
      <c r="A73" s="12" t="s">
        <v>1289</v>
      </c>
      <c r="B73" s="12" t="s">
        <v>1305</v>
      </c>
      <c r="C73" s="12" t="s">
        <v>240</v>
      </c>
      <c r="D73" s="12" t="s">
        <v>1306</v>
      </c>
      <c r="E73" s="12" t="s">
        <v>976</v>
      </c>
      <c r="F73" s="12" t="s">
        <v>989</v>
      </c>
      <c r="G73" s="12" t="s">
        <v>1289</v>
      </c>
      <c r="H73" s="12" t="s">
        <v>869</v>
      </c>
      <c r="I73" s="2" t="s">
        <v>1306</v>
      </c>
      <c r="J73" s="12" t="str">
        <f t="shared" si="6"/>
        <v>PMA3-5123+</v>
      </c>
      <c r="K73" s="2" t="str">
        <f t="shared" si="7"/>
        <v>PMA3-5123+</v>
      </c>
    </row>
    <row r="74" spans="1:13" x14ac:dyDescent="0.25">
      <c r="A74" s="12" t="s">
        <v>1290</v>
      </c>
      <c r="B74" s="12" t="s">
        <v>1307</v>
      </c>
      <c r="C74" s="12" t="s">
        <v>1308</v>
      </c>
      <c r="D74" s="12" t="s">
        <v>1309</v>
      </c>
      <c r="E74" s="12" t="s">
        <v>981</v>
      </c>
      <c r="F74" s="12" t="s">
        <v>988</v>
      </c>
      <c r="G74" s="12" t="s">
        <v>1001</v>
      </c>
      <c r="H74" s="12" t="s">
        <v>869</v>
      </c>
      <c r="I74" s="12" t="s">
        <v>1309</v>
      </c>
      <c r="J74" s="12" t="str">
        <f t="shared" si="6"/>
        <v>B070MB6S</v>
      </c>
      <c r="K74" s="2" t="str">
        <f t="shared" si="7"/>
        <v>B070MB6S</v>
      </c>
    </row>
    <row r="75" spans="1:13" x14ac:dyDescent="0.25">
      <c r="A75" s="12" t="s">
        <v>1291</v>
      </c>
      <c r="B75" s="12" t="s">
        <v>1310</v>
      </c>
      <c r="C75" s="12" t="s">
        <v>240</v>
      </c>
      <c r="D75" s="12" t="s">
        <v>1311</v>
      </c>
      <c r="E75" s="12" t="s">
        <v>976</v>
      </c>
      <c r="F75" s="12" t="s">
        <v>989</v>
      </c>
      <c r="G75" s="12" t="s">
        <v>1291</v>
      </c>
      <c r="H75" s="12" t="s">
        <v>869</v>
      </c>
      <c r="I75" s="2" t="s">
        <v>1311</v>
      </c>
      <c r="J75" s="12" t="str">
        <f t="shared" si="6"/>
        <v>PSA-14+</v>
      </c>
      <c r="K75" s="2" t="str">
        <f t="shared" si="7"/>
        <v>PSA-14+</v>
      </c>
    </row>
    <row r="76" spans="1:13" x14ac:dyDescent="0.25">
      <c r="A76" s="12" t="s">
        <v>1312</v>
      </c>
      <c r="B76" s="12" t="s">
        <v>1316</v>
      </c>
      <c r="C76" s="12" t="s">
        <v>1308</v>
      </c>
      <c r="D76" s="12" t="s">
        <v>1317</v>
      </c>
      <c r="E76" s="2" t="s">
        <v>984</v>
      </c>
      <c r="F76" s="12" t="s">
        <v>992</v>
      </c>
      <c r="G76" s="12" t="s">
        <v>1312</v>
      </c>
      <c r="H76" s="12" t="s">
        <v>869</v>
      </c>
      <c r="I76" s="12" t="s">
        <v>1317</v>
      </c>
      <c r="J76" s="12" t="str">
        <f t="shared" si="6"/>
        <v>FPC06073</v>
      </c>
      <c r="K76" s="2" t="str">
        <f t="shared" si="7"/>
        <v>FPC06073</v>
      </c>
    </row>
    <row r="77" spans="1:13" x14ac:dyDescent="0.25">
      <c r="A77" s="12" t="s">
        <v>1313</v>
      </c>
      <c r="B77" s="12" t="s">
        <v>1318</v>
      </c>
      <c r="C77" s="12" t="s">
        <v>89</v>
      </c>
      <c r="D77" s="2" t="s">
        <v>236</v>
      </c>
      <c r="E77" s="2" t="s">
        <v>984</v>
      </c>
      <c r="F77" s="12" t="s">
        <v>992</v>
      </c>
      <c r="G77" s="12" t="s">
        <v>1313</v>
      </c>
      <c r="H77" s="12" t="s">
        <v>869</v>
      </c>
      <c r="I77" s="12" t="s">
        <v>236</v>
      </c>
      <c r="J77" s="12" t="str">
        <f t="shared" si="6"/>
        <v>ADL5519</v>
      </c>
      <c r="K77" s="2" t="str">
        <f t="shared" si="7"/>
        <v>ADL5519</v>
      </c>
    </row>
    <row r="78" spans="1:13" x14ac:dyDescent="0.25">
      <c r="A78" s="12" t="s">
        <v>1314</v>
      </c>
      <c r="B78" s="12" t="s">
        <v>1315</v>
      </c>
      <c r="C78" s="12" t="s">
        <v>89</v>
      </c>
      <c r="D78" s="12" t="s">
        <v>236</v>
      </c>
      <c r="E78" s="12" t="s">
        <v>976</v>
      </c>
      <c r="F78" s="12" t="s">
        <v>989</v>
      </c>
      <c r="G78" s="12" t="s">
        <v>1314</v>
      </c>
      <c r="H78" s="12" t="s">
        <v>869</v>
      </c>
      <c r="I78" s="12" t="s">
        <v>236</v>
      </c>
      <c r="J78" s="12" t="str">
        <f t="shared" si="6"/>
        <v>ADPA1120</v>
      </c>
      <c r="K78" s="2" t="str">
        <f t="shared" si="7"/>
        <v>ADPA1120</v>
      </c>
    </row>
    <row r="79" spans="1:13" x14ac:dyDescent="0.25">
      <c r="A79" s="12" t="s">
        <v>1333</v>
      </c>
      <c r="B79" s="2" t="s">
        <v>293</v>
      </c>
      <c r="C79" s="12" t="s">
        <v>240</v>
      </c>
      <c r="D79" s="2" t="s">
        <v>291</v>
      </c>
      <c r="E79" s="2" t="s">
        <v>982</v>
      </c>
      <c r="F79" s="12" t="s">
        <v>990</v>
      </c>
      <c r="G79" s="12" t="s">
        <v>294</v>
      </c>
      <c r="H79" s="12" t="s">
        <v>869</v>
      </c>
      <c r="I79" s="2" t="s">
        <v>291</v>
      </c>
      <c r="J79" s="12" t="str">
        <f>A79</f>
        <v>YAT-30A+</v>
      </c>
      <c r="K79" s="2" t="str">
        <f>J79</f>
        <v>YAT-30A+</v>
      </c>
      <c r="M79" s="33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topLeftCell="B1" zoomScale="70" zoomScaleNormal="70" workbookViewId="0">
      <selection activeCell="J35" sqref="J35"/>
    </sheetView>
  </sheetViews>
  <sheetFormatPr defaultColWidth="11.125" defaultRowHeight="15.75" x14ac:dyDescent="0.25"/>
  <cols>
    <col min="1" max="1" width="26.25" style="12" bestFit="1" customWidth="1"/>
    <col min="2" max="2" width="54.5" style="12" customWidth="1"/>
    <col min="3" max="3" width="25.5" style="12" bestFit="1" customWidth="1"/>
    <col min="4" max="4" width="35.625" style="12" customWidth="1"/>
    <col min="5" max="5" width="14.375" style="12" customWidth="1"/>
    <col min="6" max="6" width="35.375" style="12" customWidth="1"/>
    <col min="7" max="7" width="24" style="12" customWidth="1"/>
    <col min="8" max="8" width="41.375" style="12" customWidth="1"/>
    <col min="9" max="9" width="19.25" style="12" bestFit="1" customWidth="1"/>
    <col min="10" max="11" width="28" style="12" bestFit="1" customWidth="1"/>
    <col min="12" max="12" width="18.625" style="12" customWidth="1"/>
    <col min="13" max="13" width="24" style="12" customWidth="1"/>
    <col min="14" max="16384" width="11.125" style="12"/>
  </cols>
  <sheetData>
    <row r="1" spans="1:11" ht="20.100000000000001" customHeight="1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48</v>
      </c>
      <c r="F1" s="12" t="s">
        <v>5</v>
      </c>
      <c r="G1" s="12" t="s">
        <v>6</v>
      </c>
      <c r="H1" s="12" t="s">
        <v>15</v>
      </c>
      <c r="I1" s="12" t="s">
        <v>16</v>
      </c>
      <c r="J1" s="12" t="s">
        <v>29</v>
      </c>
      <c r="K1" s="12" t="s">
        <v>30</v>
      </c>
    </row>
    <row r="2" spans="1:11" ht="20.100000000000001" customHeight="1" x14ac:dyDescent="0.25">
      <c r="A2" s="12" t="s">
        <v>46</v>
      </c>
      <c r="B2" s="12" t="s">
        <v>45</v>
      </c>
      <c r="C2" s="12" t="s">
        <v>47</v>
      </c>
      <c r="D2" s="12" t="s">
        <v>1256</v>
      </c>
      <c r="E2" s="12" t="s">
        <v>49</v>
      </c>
      <c r="F2" s="12" t="s">
        <v>876</v>
      </c>
      <c r="G2" s="12" t="s">
        <v>50</v>
      </c>
      <c r="H2" s="12" t="s">
        <v>877</v>
      </c>
      <c r="I2" s="12" t="s">
        <v>46</v>
      </c>
      <c r="J2" s="12" t="str">
        <f>A2</f>
        <v>142-0761-801</v>
      </c>
      <c r="K2" s="13" t="str">
        <f t="shared" ref="K2:K26" si="0">J2</f>
        <v>142-0761-801</v>
      </c>
    </row>
    <row r="3" spans="1:11" ht="20.100000000000001" customHeight="1" x14ac:dyDescent="0.25">
      <c r="A3" s="12" t="s">
        <v>70</v>
      </c>
      <c r="B3" s="2" t="s">
        <v>73</v>
      </c>
      <c r="C3" s="12" t="s">
        <v>71</v>
      </c>
      <c r="D3" s="12" t="s">
        <v>1260</v>
      </c>
      <c r="F3" s="12" t="s">
        <v>876</v>
      </c>
      <c r="G3" s="12" t="s">
        <v>70</v>
      </c>
      <c r="H3" s="12" t="s">
        <v>877</v>
      </c>
      <c r="I3" s="12" t="s">
        <v>208</v>
      </c>
      <c r="J3" s="12" t="str">
        <f t="shared" ref="J3:J26" si="1">A3</f>
        <v>53398-0471</v>
      </c>
      <c r="K3" s="13" t="str">
        <f t="shared" si="0"/>
        <v>53398-0471</v>
      </c>
    </row>
    <row r="4" spans="1:11" ht="20.100000000000001" customHeight="1" x14ac:dyDescent="0.25">
      <c r="A4" s="12" t="s">
        <v>74</v>
      </c>
      <c r="B4" s="2" t="s">
        <v>75</v>
      </c>
      <c r="C4" s="12" t="s">
        <v>71</v>
      </c>
      <c r="D4" s="12" t="s">
        <v>1260</v>
      </c>
      <c r="F4" s="12" t="s">
        <v>876</v>
      </c>
      <c r="G4" s="12" t="s">
        <v>74</v>
      </c>
      <c r="H4" s="12" t="s">
        <v>877</v>
      </c>
      <c r="I4" s="12" t="s">
        <v>207</v>
      </c>
      <c r="J4" s="12" t="str">
        <f t="shared" si="1"/>
        <v>87832-1420</v>
      </c>
      <c r="K4" s="13" t="str">
        <f t="shared" si="0"/>
        <v>87832-1420</v>
      </c>
    </row>
    <row r="5" spans="1:11" ht="20.100000000000001" customHeight="1" x14ac:dyDescent="0.25">
      <c r="A5" s="12" t="s">
        <v>205</v>
      </c>
      <c r="B5" s="12" t="s">
        <v>206</v>
      </c>
      <c r="C5" s="12" t="s">
        <v>71</v>
      </c>
      <c r="D5" s="12" t="s">
        <v>1260</v>
      </c>
      <c r="E5" s="12" t="s">
        <v>488</v>
      </c>
      <c r="F5" s="12" t="s">
        <v>876</v>
      </c>
      <c r="G5" s="12" t="s">
        <v>50</v>
      </c>
      <c r="H5" s="12" t="s">
        <v>877</v>
      </c>
      <c r="I5" s="12" t="s">
        <v>211</v>
      </c>
      <c r="J5" s="12" t="str">
        <f t="shared" si="1"/>
        <v>85305-0232</v>
      </c>
      <c r="K5" s="13" t="str">
        <f t="shared" si="0"/>
        <v>85305-0232</v>
      </c>
    </row>
    <row r="6" spans="1:11" ht="20.100000000000001" customHeight="1" x14ac:dyDescent="0.25">
      <c r="A6" s="12" t="s">
        <v>243</v>
      </c>
      <c r="B6" s="12" t="s">
        <v>244</v>
      </c>
      <c r="C6" s="12" t="s">
        <v>245</v>
      </c>
      <c r="D6" s="12" t="s">
        <v>1256</v>
      </c>
      <c r="E6" s="12" t="s">
        <v>49</v>
      </c>
      <c r="F6" s="12" t="s">
        <v>876</v>
      </c>
      <c r="G6" s="12" t="s">
        <v>50</v>
      </c>
      <c r="H6" s="12" t="s">
        <v>877</v>
      </c>
      <c r="I6" s="12" t="s">
        <v>243</v>
      </c>
      <c r="J6" s="12" t="str">
        <f t="shared" si="1"/>
        <v>SMA-KYHDC</v>
      </c>
      <c r="K6" s="13" t="str">
        <f t="shared" si="0"/>
        <v>SMA-KYHDC</v>
      </c>
    </row>
    <row r="7" spans="1:11" ht="20.100000000000001" customHeight="1" x14ac:dyDescent="0.25">
      <c r="A7" s="12" t="s">
        <v>284</v>
      </c>
      <c r="B7" s="12" t="s">
        <v>285</v>
      </c>
      <c r="C7" s="14" t="s">
        <v>875</v>
      </c>
      <c r="D7" s="12" t="s">
        <v>1258</v>
      </c>
      <c r="F7" s="12" t="s">
        <v>876</v>
      </c>
      <c r="G7" s="12" t="s">
        <v>284</v>
      </c>
      <c r="H7" s="12" t="s">
        <v>877</v>
      </c>
      <c r="I7" s="12" t="s">
        <v>286</v>
      </c>
      <c r="J7" s="12" t="str">
        <f t="shared" si="1"/>
        <v>TB006-508-02BE</v>
      </c>
      <c r="K7" s="13" t="str">
        <f t="shared" si="0"/>
        <v>TB006-508-02BE</v>
      </c>
    </row>
    <row r="8" spans="1:11" ht="20.100000000000001" customHeight="1" x14ac:dyDescent="0.25">
      <c r="A8" s="12" t="s">
        <v>351</v>
      </c>
      <c r="B8" s="2" t="s">
        <v>352</v>
      </c>
      <c r="C8" s="12" t="s">
        <v>353</v>
      </c>
      <c r="D8" s="12" t="s">
        <v>72</v>
      </c>
      <c r="F8" s="12" t="s">
        <v>876</v>
      </c>
      <c r="G8" s="12" t="s">
        <v>351</v>
      </c>
      <c r="H8" s="12" t="s">
        <v>877</v>
      </c>
      <c r="I8" s="12" t="s">
        <v>354</v>
      </c>
      <c r="J8" s="12" t="str">
        <f t="shared" si="1"/>
        <v>S2B-ZR-SM4A-TF</v>
      </c>
      <c r="K8" s="13" t="str">
        <f t="shared" si="0"/>
        <v>S2B-ZR-SM4A-TF</v>
      </c>
    </row>
    <row r="9" spans="1:11" ht="20.100000000000001" customHeight="1" x14ac:dyDescent="0.25">
      <c r="A9" s="12" t="s">
        <v>444</v>
      </c>
      <c r="B9" s="12" t="s">
        <v>445</v>
      </c>
      <c r="C9" s="12" t="s">
        <v>446</v>
      </c>
      <c r="D9" s="12" t="s">
        <v>1259</v>
      </c>
      <c r="F9" s="12" t="s">
        <v>876</v>
      </c>
      <c r="G9" s="12" t="s">
        <v>444</v>
      </c>
      <c r="H9" s="12" t="s">
        <v>877</v>
      </c>
      <c r="J9" s="12" t="str">
        <f t="shared" si="1"/>
        <v>SOLC-120-02-F-Q-A-K-TR</v>
      </c>
      <c r="K9" s="13" t="str">
        <f t="shared" si="0"/>
        <v>SOLC-120-02-F-Q-A-K-TR</v>
      </c>
    </row>
    <row r="10" spans="1:11" ht="20.100000000000001" customHeight="1" x14ac:dyDescent="0.25">
      <c r="A10" s="12" t="s">
        <v>483</v>
      </c>
      <c r="B10" s="12" t="s">
        <v>484</v>
      </c>
      <c r="C10" s="12" t="s">
        <v>485</v>
      </c>
      <c r="D10" s="12" t="s">
        <v>1256</v>
      </c>
      <c r="E10" s="12" t="s">
        <v>486</v>
      </c>
      <c r="F10" s="12" t="s">
        <v>876</v>
      </c>
      <c r="G10" s="12" t="s">
        <v>50</v>
      </c>
      <c r="H10" s="12" t="s">
        <v>877</v>
      </c>
      <c r="I10" s="12" t="s">
        <v>483</v>
      </c>
      <c r="J10" s="12" t="str">
        <f t="shared" si="1"/>
        <v>SMP-MSLD-PCT-6</v>
      </c>
      <c r="K10" s="12" t="str">
        <f t="shared" si="0"/>
        <v>SMP-MSLD-PCT-6</v>
      </c>
    </row>
    <row r="11" spans="1:11" ht="20.100000000000001" customHeight="1" x14ac:dyDescent="0.25">
      <c r="A11" s="12" t="s">
        <v>489</v>
      </c>
      <c r="B11" s="12" t="s">
        <v>487</v>
      </c>
      <c r="C11" s="12" t="s">
        <v>485</v>
      </c>
      <c r="D11" s="12" t="s">
        <v>1256</v>
      </c>
      <c r="E11" s="12" t="s">
        <v>488</v>
      </c>
      <c r="F11" s="12" t="s">
        <v>876</v>
      </c>
      <c r="G11" s="12" t="s">
        <v>50</v>
      </c>
      <c r="H11" s="12" t="s">
        <v>877</v>
      </c>
      <c r="I11" s="12" t="s">
        <v>489</v>
      </c>
      <c r="J11" s="12" t="str">
        <f t="shared" si="1"/>
        <v>SMP-MSSB-PCS</v>
      </c>
      <c r="K11" s="12" t="str">
        <f t="shared" si="0"/>
        <v>SMP-MSSB-PCS</v>
      </c>
    </row>
    <row r="12" spans="1:11" ht="20.100000000000001" customHeight="1" x14ac:dyDescent="0.25">
      <c r="A12" s="12" t="s">
        <v>494</v>
      </c>
      <c r="B12" s="2" t="s">
        <v>495</v>
      </c>
      <c r="C12" s="12" t="s">
        <v>71</v>
      </c>
      <c r="D12" s="2" t="s">
        <v>1257</v>
      </c>
      <c r="F12" s="12" t="s">
        <v>876</v>
      </c>
      <c r="G12" s="12" t="s">
        <v>494</v>
      </c>
      <c r="H12" s="12" t="s">
        <v>877</v>
      </c>
      <c r="J12" s="12" t="str">
        <f t="shared" si="1"/>
        <v>47352-1001</v>
      </c>
      <c r="K12" s="12" t="str">
        <f t="shared" si="0"/>
        <v>47352-1001</v>
      </c>
    </row>
    <row r="13" spans="1:11" ht="20.100000000000001" customHeight="1" x14ac:dyDescent="0.25">
      <c r="A13" s="12" t="s">
        <v>511</v>
      </c>
      <c r="B13" s="12" t="s">
        <v>513</v>
      </c>
      <c r="C13" s="12" t="s">
        <v>512</v>
      </c>
      <c r="D13" s="12" t="s">
        <v>1258</v>
      </c>
      <c r="F13" s="12" t="s">
        <v>876</v>
      </c>
      <c r="G13" s="12" t="s">
        <v>511</v>
      </c>
      <c r="H13" s="12" t="s">
        <v>877</v>
      </c>
      <c r="I13" s="12" t="s">
        <v>511</v>
      </c>
      <c r="J13" s="12" t="str">
        <f t="shared" si="1"/>
        <v>PJ-002B</v>
      </c>
      <c r="K13" s="12" t="str">
        <f t="shared" si="0"/>
        <v>PJ-002B</v>
      </c>
    </row>
    <row r="14" spans="1:11" ht="20.100000000000001" customHeight="1" x14ac:dyDescent="0.25">
      <c r="A14" s="12" t="s">
        <v>560</v>
      </c>
      <c r="B14" s="12" t="s">
        <v>561</v>
      </c>
      <c r="C14" s="12" t="s">
        <v>562</v>
      </c>
      <c r="D14" s="12" t="s">
        <v>1257</v>
      </c>
      <c r="F14" s="12" t="s">
        <v>876</v>
      </c>
      <c r="G14" s="12" t="s">
        <v>560</v>
      </c>
      <c r="H14" s="12" t="s">
        <v>877</v>
      </c>
      <c r="J14" s="12" t="str">
        <f t="shared" si="1"/>
        <v>ZX62R-B-5P</v>
      </c>
      <c r="K14" s="12" t="str">
        <f t="shared" si="0"/>
        <v>ZX62R-B-5P</v>
      </c>
    </row>
    <row r="15" spans="1:11" ht="20.100000000000001" customHeight="1" x14ac:dyDescent="0.25">
      <c r="A15" s="12" t="s">
        <v>577</v>
      </c>
      <c r="B15" s="2" t="s">
        <v>573</v>
      </c>
      <c r="C15" s="12" t="s">
        <v>572</v>
      </c>
      <c r="D15" s="12" t="s">
        <v>1259</v>
      </c>
      <c r="F15" s="12" t="s">
        <v>876</v>
      </c>
      <c r="G15" s="15" t="s">
        <v>574</v>
      </c>
      <c r="H15" s="12" t="s">
        <v>877</v>
      </c>
      <c r="I15" s="12" t="s">
        <v>1278</v>
      </c>
      <c r="J15" s="12" t="s">
        <v>1278</v>
      </c>
      <c r="K15" s="12" t="str">
        <f t="shared" si="0"/>
        <v>ADM6-60-01.5-L-4-2-A-TR</v>
      </c>
    </row>
    <row r="16" spans="1:11" ht="20.100000000000001" customHeight="1" x14ac:dyDescent="0.25">
      <c r="A16" s="12" t="s">
        <v>576</v>
      </c>
      <c r="B16" s="2" t="s">
        <v>573</v>
      </c>
      <c r="C16" s="12" t="s">
        <v>572</v>
      </c>
      <c r="D16" s="12" t="s">
        <v>1259</v>
      </c>
      <c r="F16" s="12" t="s">
        <v>876</v>
      </c>
      <c r="G16" s="15" t="s">
        <v>575</v>
      </c>
      <c r="H16" s="12" t="s">
        <v>877</v>
      </c>
      <c r="I16" s="12" t="s">
        <v>1278</v>
      </c>
      <c r="J16" s="12" t="s">
        <v>1278</v>
      </c>
      <c r="K16" s="12" t="str">
        <f t="shared" si="0"/>
        <v>ADM6-60-01.5-L-4-2-A-TR</v>
      </c>
    </row>
    <row r="17" spans="1:11" ht="20.100000000000001" customHeight="1" x14ac:dyDescent="0.25">
      <c r="A17" s="12" t="s">
        <v>623</v>
      </c>
      <c r="B17" s="12" t="s">
        <v>624</v>
      </c>
      <c r="C17" s="12" t="s">
        <v>418</v>
      </c>
      <c r="D17" s="12" t="s">
        <v>1257</v>
      </c>
      <c r="F17" s="12" t="s">
        <v>876</v>
      </c>
      <c r="G17" s="12" t="s">
        <v>623</v>
      </c>
      <c r="H17" s="12" t="s">
        <v>877</v>
      </c>
      <c r="J17" s="12" t="str">
        <f t="shared" si="1"/>
        <v>J0G-0001NL</v>
      </c>
      <c r="K17" s="12" t="str">
        <f t="shared" si="0"/>
        <v>J0G-0001NL</v>
      </c>
    </row>
    <row r="18" spans="1:11" ht="20.100000000000001" customHeight="1" x14ac:dyDescent="0.25">
      <c r="A18" s="12" t="s">
        <v>640</v>
      </c>
      <c r="B18" s="12" t="s">
        <v>642</v>
      </c>
      <c r="C18" s="12" t="s">
        <v>641</v>
      </c>
      <c r="D18" s="12" t="s">
        <v>1260</v>
      </c>
      <c r="F18" s="12" t="s">
        <v>876</v>
      </c>
      <c r="G18" s="12" t="s">
        <v>640</v>
      </c>
      <c r="H18" s="12" t="s">
        <v>877</v>
      </c>
      <c r="J18" s="12" t="str">
        <f t="shared" si="1"/>
        <v>20021321-00050T4LF</v>
      </c>
      <c r="K18" s="12" t="str">
        <f t="shared" si="0"/>
        <v>20021321-00050T4LF</v>
      </c>
    </row>
    <row r="19" spans="1:11" ht="20.100000000000001" customHeight="1" x14ac:dyDescent="0.25">
      <c r="A19" s="12" t="s">
        <v>645</v>
      </c>
      <c r="B19" s="12" t="s">
        <v>643</v>
      </c>
      <c r="C19" s="12" t="s">
        <v>644</v>
      </c>
      <c r="D19" s="12" t="s">
        <v>1259</v>
      </c>
      <c r="F19" s="12" t="s">
        <v>876</v>
      </c>
      <c r="G19" s="12" t="s">
        <v>645</v>
      </c>
      <c r="H19" s="12" t="s">
        <v>877</v>
      </c>
      <c r="J19" s="12" t="str">
        <f t="shared" si="1"/>
        <v>2199119-2</v>
      </c>
      <c r="K19" s="12" t="str">
        <f t="shared" si="0"/>
        <v>2199119-2</v>
      </c>
    </row>
    <row r="20" spans="1:11" ht="20.100000000000001" customHeight="1" x14ac:dyDescent="0.25">
      <c r="A20" s="12" t="s">
        <v>650</v>
      </c>
      <c r="B20" s="12" t="s">
        <v>651</v>
      </c>
      <c r="C20" s="12" t="s">
        <v>652</v>
      </c>
      <c r="D20" s="12" t="s">
        <v>1258</v>
      </c>
      <c r="F20" s="12" t="s">
        <v>876</v>
      </c>
      <c r="G20" s="12" t="s">
        <v>653</v>
      </c>
      <c r="H20" s="12" t="s">
        <v>877</v>
      </c>
      <c r="J20" s="12" t="str">
        <f t="shared" si="1"/>
        <v>15EDGRC-3.81-06P-14-00A(H)</v>
      </c>
      <c r="K20" s="12" t="str">
        <f t="shared" si="0"/>
        <v>15EDGRC-3.81-06P-14-00A(H)</v>
      </c>
    </row>
    <row r="21" spans="1:11" ht="20.100000000000001" customHeight="1" x14ac:dyDescent="0.25">
      <c r="A21" s="12" t="s">
        <v>699</v>
      </c>
      <c r="B21" s="12" t="s">
        <v>700</v>
      </c>
      <c r="C21" s="12" t="s">
        <v>146</v>
      </c>
      <c r="D21" s="12" t="s">
        <v>1260</v>
      </c>
      <c r="F21" s="12" t="s">
        <v>876</v>
      </c>
      <c r="G21" s="12" t="s">
        <v>699</v>
      </c>
      <c r="H21" s="12" t="s">
        <v>877</v>
      </c>
      <c r="J21" s="12" t="str">
        <f t="shared" si="1"/>
        <v>61202021621</v>
      </c>
      <c r="K21" s="12" t="str">
        <f t="shared" si="0"/>
        <v>61202021621</v>
      </c>
    </row>
    <row r="22" spans="1:11" ht="20.100000000000001" customHeight="1" x14ac:dyDescent="0.25">
      <c r="A22" s="12" t="s">
        <v>701</v>
      </c>
      <c r="B22" s="12" t="s">
        <v>702</v>
      </c>
      <c r="C22" s="12" t="s">
        <v>485</v>
      </c>
      <c r="D22" s="12" t="s">
        <v>1257</v>
      </c>
      <c r="F22" s="12" t="s">
        <v>876</v>
      </c>
      <c r="G22" s="12" t="s">
        <v>701</v>
      </c>
      <c r="H22" s="12" t="s">
        <v>877</v>
      </c>
      <c r="J22" s="12" t="str">
        <f t="shared" si="1"/>
        <v>G14A421211112HR</v>
      </c>
      <c r="K22" s="12" t="str">
        <f t="shared" si="0"/>
        <v>G14A421211112HR</v>
      </c>
    </row>
    <row r="23" spans="1:11" x14ac:dyDescent="0.25">
      <c r="A23" s="12" t="s">
        <v>1020</v>
      </c>
      <c r="B23" s="12" t="s">
        <v>1019</v>
      </c>
      <c r="C23" s="12" t="s">
        <v>485</v>
      </c>
      <c r="D23" s="12" t="s">
        <v>1257</v>
      </c>
      <c r="F23" s="12" t="s">
        <v>876</v>
      </c>
      <c r="G23" s="12" t="s">
        <v>1020</v>
      </c>
      <c r="H23" s="12" t="s">
        <v>877</v>
      </c>
      <c r="I23" s="12" t="s">
        <v>1020</v>
      </c>
      <c r="J23" s="12" t="str">
        <f t="shared" si="1"/>
        <v>G14A42221612AHR</v>
      </c>
      <c r="K23" s="12" t="str">
        <f t="shared" si="0"/>
        <v>G14A42221612AHR</v>
      </c>
    </row>
    <row r="24" spans="1:11" x14ac:dyDescent="0.25">
      <c r="A24" s="12" t="s">
        <v>1028</v>
      </c>
      <c r="B24" s="12" t="s">
        <v>1030</v>
      </c>
      <c r="C24" s="12" t="s">
        <v>1029</v>
      </c>
      <c r="D24" s="12" t="s">
        <v>1258</v>
      </c>
      <c r="F24" s="12" t="s">
        <v>876</v>
      </c>
      <c r="G24" s="12" t="s">
        <v>1028</v>
      </c>
      <c r="H24" s="12" t="s">
        <v>877</v>
      </c>
      <c r="I24" s="12" t="s">
        <v>1028</v>
      </c>
      <c r="J24" s="12" t="str">
        <f t="shared" si="1"/>
        <v>1586037-4</v>
      </c>
      <c r="K24" s="12" t="str">
        <f t="shared" si="0"/>
        <v>1586037-4</v>
      </c>
    </row>
    <row r="25" spans="1:11" x14ac:dyDescent="0.25">
      <c r="A25" s="34" t="s">
        <v>1044</v>
      </c>
      <c r="B25" s="12" t="s">
        <v>1045</v>
      </c>
      <c r="C25" s="12" t="s">
        <v>1046</v>
      </c>
      <c r="D25" s="12" t="s">
        <v>1256</v>
      </c>
      <c r="E25" s="12" t="s">
        <v>1047</v>
      </c>
      <c r="F25" s="12" t="s">
        <v>876</v>
      </c>
      <c r="G25" s="12" t="s">
        <v>50</v>
      </c>
      <c r="H25" s="12" t="s">
        <v>877</v>
      </c>
      <c r="I25" s="12" t="s">
        <v>1044</v>
      </c>
      <c r="J25" s="12" t="str">
        <f t="shared" si="1"/>
        <v>81_SMP-S50-0-L1/111_N</v>
      </c>
      <c r="K25" s="12" t="str">
        <f t="shared" si="0"/>
        <v>81_SMP-S50-0-L1/111_N</v>
      </c>
    </row>
    <row r="26" spans="1:11" x14ac:dyDescent="0.25">
      <c r="A26" s="12" t="s">
        <v>1255</v>
      </c>
      <c r="B26" s="12" t="s">
        <v>1261</v>
      </c>
      <c r="C26" s="12" t="s">
        <v>1262</v>
      </c>
      <c r="D26" s="12" t="s">
        <v>1260</v>
      </c>
      <c r="F26" s="12" t="s">
        <v>876</v>
      </c>
      <c r="G26" s="12" t="s">
        <v>1255</v>
      </c>
      <c r="H26" s="12" t="s">
        <v>877</v>
      </c>
      <c r="I26" s="12" t="s">
        <v>1255</v>
      </c>
      <c r="J26" s="12" t="str">
        <f t="shared" si="1"/>
        <v>S04B-PASK-2</v>
      </c>
      <c r="K26" s="12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5</v>
      </c>
      <c r="F1" s="12" t="s">
        <v>6</v>
      </c>
      <c r="G1" s="12" t="s">
        <v>15</v>
      </c>
      <c r="H1" s="12" t="s">
        <v>16</v>
      </c>
      <c r="I1" s="12" t="s">
        <v>31</v>
      </c>
      <c r="J1" s="12" t="s">
        <v>14</v>
      </c>
      <c r="K1" s="12" t="s">
        <v>29</v>
      </c>
      <c r="L1" s="12" t="s">
        <v>30</v>
      </c>
    </row>
    <row r="2" spans="1:12" x14ac:dyDescent="0.25">
      <c r="A2" s="2" t="s">
        <v>277</v>
      </c>
      <c r="B2" s="2" t="s">
        <v>270</v>
      </c>
      <c r="C2" s="2" t="s">
        <v>271</v>
      </c>
      <c r="D2" s="2" t="s">
        <v>272</v>
      </c>
      <c r="E2" s="2" t="s">
        <v>879</v>
      </c>
      <c r="F2" s="2" t="s">
        <v>269</v>
      </c>
      <c r="G2" s="12" t="s">
        <v>878</v>
      </c>
      <c r="H2" s="2" t="s">
        <v>283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273</v>
      </c>
      <c r="B3" s="2" t="s">
        <v>274</v>
      </c>
      <c r="C3" s="2" t="s">
        <v>275</v>
      </c>
      <c r="D3" s="2" t="s">
        <v>276</v>
      </c>
      <c r="E3" s="2" t="s">
        <v>879</v>
      </c>
      <c r="F3" s="2" t="s">
        <v>273</v>
      </c>
      <c r="G3" s="12" t="s">
        <v>878</v>
      </c>
      <c r="H3" s="2" t="s">
        <v>281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367</v>
      </c>
      <c r="B4" s="2" t="s">
        <v>368</v>
      </c>
      <c r="C4" s="2" t="s">
        <v>369</v>
      </c>
      <c r="D4" s="2" t="s">
        <v>370</v>
      </c>
      <c r="E4" s="2" t="s">
        <v>879</v>
      </c>
      <c r="F4" s="2" t="s">
        <v>367</v>
      </c>
      <c r="G4" s="12" t="s">
        <v>878</v>
      </c>
      <c r="H4" s="2" t="s">
        <v>281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423</v>
      </c>
      <c r="B5" s="2" t="s">
        <v>424</v>
      </c>
      <c r="C5" s="2" t="s">
        <v>271</v>
      </c>
      <c r="D5" s="2" t="s">
        <v>370</v>
      </c>
      <c r="E5" s="2" t="s">
        <v>879</v>
      </c>
      <c r="F5" s="2" t="s">
        <v>423</v>
      </c>
      <c r="G5" s="12" t="s">
        <v>878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topLeftCell="B1" zoomScaleNormal="100" workbookViewId="0">
      <selection activeCell="E22" sqref="E22"/>
    </sheetView>
  </sheetViews>
  <sheetFormatPr defaultColWidth="11.125" defaultRowHeight="15.75" x14ac:dyDescent="0.25"/>
  <cols>
    <col min="1" max="1" width="49" style="12" customWidth="1"/>
    <col min="2" max="2" width="53.25" style="12" customWidth="1"/>
    <col min="3" max="3" width="33.125" style="12" bestFit="1" customWidth="1"/>
    <col min="4" max="4" width="16.125" style="12" customWidth="1"/>
    <col min="5" max="5" width="26.5" style="12" bestFit="1" customWidth="1"/>
    <col min="6" max="6" width="24" style="12" customWidth="1"/>
    <col min="7" max="7" width="27.875" style="12" bestFit="1" customWidth="1"/>
    <col min="8" max="8" width="14.625" style="12" bestFit="1" customWidth="1"/>
    <col min="9" max="9" width="23.125" style="12" bestFit="1" customWidth="1"/>
    <col min="10" max="10" width="22.375" style="12" customWidth="1"/>
    <col min="11" max="16384" width="11.125" style="12"/>
  </cols>
  <sheetData>
    <row r="1" spans="1:10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5</v>
      </c>
      <c r="F1" s="12" t="s">
        <v>6</v>
      </c>
      <c r="G1" s="12" t="s">
        <v>7</v>
      </c>
      <c r="H1" s="12" t="s">
        <v>8</v>
      </c>
      <c r="I1" s="29" t="s">
        <v>29</v>
      </c>
      <c r="J1" s="12" t="s">
        <v>35</v>
      </c>
    </row>
    <row r="2" spans="1:10" x14ac:dyDescent="0.25">
      <c r="A2" s="12" t="s">
        <v>172</v>
      </c>
      <c r="B2" s="3" t="s">
        <v>173</v>
      </c>
      <c r="C2" s="2" t="s">
        <v>174</v>
      </c>
      <c r="D2" s="2" t="s">
        <v>175</v>
      </c>
      <c r="E2" s="12" t="s">
        <v>883</v>
      </c>
      <c r="F2" s="12" t="s">
        <v>176</v>
      </c>
      <c r="G2" s="12" t="s">
        <v>881</v>
      </c>
      <c r="H2" s="2" t="s">
        <v>175</v>
      </c>
      <c r="I2" s="13" t="str">
        <f>_xlfn.CONCAT("D-",A2)</f>
        <v>D-SS24FL</v>
      </c>
      <c r="J2" s="13" t="str">
        <f>I2</f>
        <v>D-SS24FL</v>
      </c>
    </row>
    <row r="3" spans="1:10" x14ac:dyDescent="0.25">
      <c r="A3" s="2" t="s">
        <v>177</v>
      </c>
      <c r="B3" s="3" t="s">
        <v>178</v>
      </c>
      <c r="C3" s="12" t="s">
        <v>174</v>
      </c>
      <c r="D3" s="2" t="s">
        <v>179</v>
      </c>
      <c r="E3" s="12" t="s">
        <v>883</v>
      </c>
      <c r="F3" s="12" t="s">
        <v>176</v>
      </c>
      <c r="G3" s="12" t="s">
        <v>881</v>
      </c>
      <c r="H3" s="2" t="s">
        <v>179</v>
      </c>
      <c r="I3" s="13" t="str">
        <f>_xlfn.CONCAT("D-",A3)</f>
        <v>D-MBRA160T3G</v>
      </c>
      <c r="J3" s="13" t="str">
        <f>I3</f>
        <v>D-MBRA160T3G</v>
      </c>
    </row>
    <row r="4" spans="1:10" x14ac:dyDescent="0.25">
      <c r="A4" s="12" t="s">
        <v>213</v>
      </c>
      <c r="B4" s="3" t="s">
        <v>212</v>
      </c>
      <c r="E4" s="12" t="s">
        <v>884</v>
      </c>
      <c r="F4" s="12" t="s">
        <v>213</v>
      </c>
      <c r="G4" s="12" t="s">
        <v>882</v>
      </c>
      <c r="H4" s="12" t="s">
        <v>213</v>
      </c>
    </row>
    <row r="5" spans="1:10" x14ac:dyDescent="0.25">
      <c r="A5" s="12" t="s">
        <v>246</v>
      </c>
      <c r="B5" s="12" t="s">
        <v>247</v>
      </c>
      <c r="E5" s="12" t="s">
        <v>884</v>
      </c>
      <c r="F5" s="12" t="s">
        <v>213</v>
      </c>
      <c r="G5" s="12" t="s">
        <v>882</v>
      </c>
      <c r="H5" s="12" t="s">
        <v>246</v>
      </c>
    </row>
    <row r="6" spans="1:10" x14ac:dyDescent="0.25">
      <c r="A6" s="12" t="s">
        <v>278</v>
      </c>
      <c r="B6" s="2" t="s">
        <v>279</v>
      </c>
      <c r="C6" s="12" t="s">
        <v>280</v>
      </c>
      <c r="D6" s="12" t="s">
        <v>281</v>
      </c>
      <c r="E6" s="12" t="s">
        <v>883</v>
      </c>
      <c r="F6" s="12" t="s">
        <v>282</v>
      </c>
      <c r="G6" s="12" t="s">
        <v>881</v>
      </c>
      <c r="H6" s="12" t="s">
        <v>281</v>
      </c>
      <c r="I6" s="13" t="str">
        <f t="shared" ref="I6:I17" si="0">_xlfn.CONCAT("D-",A6)</f>
        <v>D-BZX84C13</v>
      </c>
      <c r="J6" s="13" t="str">
        <f t="shared" ref="J6:J17" si="1">I6</f>
        <v>D-BZX84C13</v>
      </c>
    </row>
    <row r="7" spans="1:10" x14ac:dyDescent="0.25">
      <c r="A7" s="12" t="s">
        <v>320</v>
      </c>
      <c r="B7" s="2" t="s">
        <v>321</v>
      </c>
      <c r="C7" s="12" t="s">
        <v>322</v>
      </c>
      <c r="D7" s="2">
        <v>7050</v>
      </c>
      <c r="E7" s="12" t="s">
        <v>884</v>
      </c>
      <c r="F7" s="12" t="s">
        <v>325</v>
      </c>
      <c r="G7" s="12" t="s">
        <v>882</v>
      </c>
      <c r="H7" s="12" t="s">
        <v>323</v>
      </c>
      <c r="I7" s="13" t="str">
        <f t="shared" si="0"/>
        <v>D-ECS-LVDS33-1000-BN</v>
      </c>
      <c r="J7" s="13" t="str">
        <f t="shared" si="1"/>
        <v>D-ECS-LVDS33-1000-BN</v>
      </c>
    </row>
    <row r="8" spans="1:10" x14ac:dyDescent="0.25">
      <c r="A8" s="12" t="s">
        <v>329</v>
      </c>
      <c r="B8" s="2" t="s">
        <v>330</v>
      </c>
      <c r="C8" s="12" t="s">
        <v>331</v>
      </c>
      <c r="D8" s="2" t="s">
        <v>332</v>
      </c>
      <c r="E8" s="12" t="s">
        <v>884</v>
      </c>
      <c r="F8" s="12" t="s">
        <v>329</v>
      </c>
      <c r="G8" s="12" t="s">
        <v>869</v>
      </c>
      <c r="H8" s="2" t="s">
        <v>334</v>
      </c>
      <c r="I8" s="13" t="str">
        <f t="shared" si="0"/>
        <v>D-LSM6DS3TR-C</v>
      </c>
      <c r="J8" s="13" t="str">
        <f t="shared" si="1"/>
        <v>D-LSM6DS3TR-C</v>
      </c>
    </row>
    <row r="9" spans="1:10" x14ac:dyDescent="0.25">
      <c r="A9" s="12" t="s">
        <v>357</v>
      </c>
      <c r="B9" s="2" t="s">
        <v>355</v>
      </c>
      <c r="C9" s="12" t="s">
        <v>98</v>
      </c>
      <c r="D9" s="12" t="s">
        <v>356</v>
      </c>
      <c r="E9" s="12" t="s">
        <v>884</v>
      </c>
      <c r="F9" s="12" t="s">
        <v>357</v>
      </c>
      <c r="G9" s="12" t="s">
        <v>869</v>
      </c>
      <c r="H9" s="12" t="s">
        <v>356</v>
      </c>
      <c r="I9" s="13" t="str">
        <f t="shared" si="0"/>
        <v>D-SN74LVC1G08DCKRE4</v>
      </c>
      <c r="J9" s="13" t="str">
        <f t="shared" si="1"/>
        <v>D-SN74LVC1G08DCKRE4</v>
      </c>
    </row>
    <row r="10" spans="1:10" s="16" customFormat="1" x14ac:dyDescent="0.25">
      <c r="A10" s="16" t="s">
        <v>441</v>
      </c>
      <c r="B10" s="2" t="s">
        <v>442</v>
      </c>
      <c r="C10" s="16" t="s">
        <v>240</v>
      </c>
      <c r="D10" s="2" t="s">
        <v>443</v>
      </c>
      <c r="E10" s="12" t="s">
        <v>885</v>
      </c>
      <c r="F10" s="12" t="s">
        <v>441</v>
      </c>
      <c r="H10" s="12"/>
      <c r="I10" s="16" t="str">
        <f t="shared" si="0"/>
        <v>D-TCM1-63AX+</v>
      </c>
      <c r="J10" s="16" t="str">
        <f t="shared" si="1"/>
        <v>D-TCM1-63AX+</v>
      </c>
    </row>
    <row r="11" spans="1:10" s="16" customFormat="1" x14ac:dyDescent="0.25">
      <c r="A11" s="16" t="s">
        <v>557</v>
      </c>
      <c r="B11" s="16" t="s">
        <v>558</v>
      </c>
      <c r="C11" s="16" t="s">
        <v>559</v>
      </c>
      <c r="E11" s="12" t="s">
        <v>884</v>
      </c>
      <c r="F11" s="12" t="s">
        <v>557</v>
      </c>
      <c r="H11" s="12"/>
      <c r="I11" s="16" t="str">
        <f t="shared" si="0"/>
        <v>D-CX3225SB12000H0FLJCC</v>
      </c>
      <c r="J11" s="16" t="str">
        <f t="shared" si="1"/>
        <v>D-CX3225SB12000H0FLJCC</v>
      </c>
    </row>
    <row r="12" spans="1:10" x14ac:dyDescent="0.25">
      <c r="A12" s="12" t="s">
        <v>578</v>
      </c>
      <c r="B12" s="12" t="s">
        <v>580</v>
      </c>
      <c r="C12" s="12" t="s">
        <v>579</v>
      </c>
      <c r="E12" s="12" t="s">
        <v>884</v>
      </c>
      <c r="F12" s="12" t="s">
        <v>592</v>
      </c>
      <c r="I12" s="16" t="str">
        <f t="shared" si="0"/>
        <v>D-1825140-2</v>
      </c>
      <c r="J12" s="16" t="str">
        <f t="shared" si="1"/>
        <v>D-1825140-2</v>
      </c>
    </row>
    <row r="13" spans="1:10" x14ac:dyDescent="0.25">
      <c r="A13" s="12" t="s">
        <v>585</v>
      </c>
      <c r="B13" s="12" t="s">
        <v>586</v>
      </c>
      <c r="C13" s="12" t="s">
        <v>587</v>
      </c>
      <c r="D13" s="12" t="s">
        <v>11</v>
      </c>
      <c r="E13" s="12" t="s">
        <v>1237</v>
      </c>
      <c r="F13" s="12" t="s">
        <v>584</v>
      </c>
      <c r="G13" s="12" t="s">
        <v>870</v>
      </c>
      <c r="H13" s="12" t="s">
        <v>1236</v>
      </c>
      <c r="I13" s="16" t="str">
        <f t="shared" si="0"/>
        <v>D-LTST-C191KGKT</v>
      </c>
      <c r="J13" s="16" t="str">
        <f t="shared" si="1"/>
        <v>D-LTST-C191KGKT</v>
      </c>
    </row>
    <row r="14" spans="1:10" s="16" customFormat="1" x14ac:dyDescent="0.25">
      <c r="A14" s="16" t="s">
        <v>591</v>
      </c>
      <c r="B14" s="16" t="s">
        <v>590</v>
      </c>
      <c r="C14" s="16" t="s">
        <v>589</v>
      </c>
      <c r="E14" s="12" t="s">
        <v>884</v>
      </c>
      <c r="F14" s="16" t="s">
        <v>588</v>
      </c>
      <c r="G14" s="16" t="s">
        <v>333</v>
      </c>
      <c r="I14" s="16" t="str">
        <f t="shared" si="0"/>
        <v>D-B3U-1100P-B</v>
      </c>
      <c r="J14" s="16" t="str">
        <f t="shared" si="1"/>
        <v>D-B3U-1100P-B</v>
      </c>
    </row>
    <row r="15" spans="1:10" x14ac:dyDescent="0.25">
      <c r="A15" s="12" t="s">
        <v>593</v>
      </c>
      <c r="B15" s="12" t="s">
        <v>594</v>
      </c>
      <c r="C15" s="12" t="s">
        <v>595</v>
      </c>
      <c r="E15" s="12" t="s">
        <v>884</v>
      </c>
      <c r="F15" s="12" t="s">
        <v>592</v>
      </c>
      <c r="I15" s="16" t="str">
        <f t="shared" si="0"/>
        <v>D-CT2064-ND</v>
      </c>
      <c r="J15" s="16" t="str">
        <f t="shared" si="1"/>
        <v>D-CT2064-ND</v>
      </c>
    </row>
    <row r="16" spans="1:10" x14ac:dyDescent="0.25">
      <c r="A16" s="12" t="s">
        <v>646</v>
      </c>
      <c r="B16" s="12" t="s">
        <v>647</v>
      </c>
      <c r="C16" s="12" t="s">
        <v>648</v>
      </c>
      <c r="E16" s="12" t="s">
        <v>884</v>
      </c>
      <c r="F16" s="12" t="s">
        <v>649</v>
      </c>
      <c r="I16" s="16" t="str">
        <f t="shared" si="0"/>
        <v>D-SM712-02HTG</v>
      </c>
      <c r="J16" s="16" t="str">
        <f t="shared" si="1"/>
        <v>D-SM712-02HTG</v>
      </c>
    </row>
    <row r="17" spans="1:10" x14ac:dyDescent="0.25">
      <c r="A17" s="2" t="s">
        <v>654</v>
      </c>
      <c r="B17" s="2" t="s">
        <v>655</v>
      </c>
      <c r="C17" s="12" t="s">
        <v>174</v>
      </c>
      <c r="D17" s="2" t="s">
        <v>656</v>
      </c>
      <c r="E17" s="12" t="s">
        <v>884</v>
      </c>
      <c r="F17" s="12" t="s">
        <v>654</v>
      </c>
      <c r="I17" s="16" t="str">
        <f t="shared" si="0"/>
        <v>D-PESD3V3L1BA</v>
      </c>
      <c r="J17" s="16" t="str">
        <f t="shared" si="1"/>
        <v>D-PESD3V3L1BA</v>
      </c>
    </row>
    <row r="18" spans="1:10" x14ac:dyDescent="0.25">
      <c r="A18" s="12" t="s">
        <v>665</v>
      </c>
      <c r="B18" s="12" t="s">
        <v>247</v>
      </c>
      <c r="E18" s="12" t="s">
        <v>884</v>
      </c>
      <c r="F18" s="12" t="s">
        <v>213</v>
      </c>
      <c r="G18" s="12" t="s">
        <v>880</v>
      </c>
      <c r="H18" s="12" t="s">
        <v>665</v>
      </c>
      <c r="I18" s="16"/>
      <c r="J18" s="16"/>
    </row>
    <row r="19" spans="1:10" x14ac:dyDescent="0.25">
      <c r="A19" s="12" t="s">
        <v>666</v>
      </c>
      <c r="B19" s="12" t="s">
        <v>667</v>
      </c>
      <c r="E19" s="12" t="s">
        <v>884</v>
      </c>
      <c r="F19" s="12" t="s">
        <v>668</v>
      </c>
      <c r="I19" s="16"/>
      <c r="J19" s="16"/>
    </row>
    <row r="20" spans="1:10" x14ac:dyDescent="0.25">
      <c r="A20" s="12" t="s">
        <v>1040</v>
      </c>
      <c r="B20" s="12" t="s">
        <v>1041</v>
      </c>
      <c r="E20" s="12" t="s">
        <v>884</v>
      </c>
      <c r="F20" s="12" t="s">
        <v>1040</v>
      </c>
      <c r="G20" s="12" t="s">
        <v>880</v>
      </c>
      <c r="H20" s="12" t="s">
        <v>1040</v>
      </c>
    </row>
    <row r="21" spans="1:10" x14ac:dyDescent="0.25">
      <c r="A21" s="12" t="s">
        <v>1048</v>
      </c>
      <c r="B21" s="12" t="s">
        <v>1048</v>
      </c>
      <c r="E21" s="12" t="s">
        <v>884</v>
      </c>
      <c r="F21" s="12" t="s">
        <v>1048</v>
      </c>
      <c r="G21" s="12" t="s">
        <v>880</v>
      </c>
      <c r="H21" s="12" t="s">
        <v>1048</v>
      </c>
    </row>
    <row r="22" spans="1:10" x14ac:dyDescent="0.25">
      <c r="A22" s="12" t="s">
        <v>1234</v>
      </c>
      <c r="B22" s="12" t="s">
        <v>1235</v>
      </c>
      <c r="C22" s="12" t="s">
        <v>587</v>
      </c>
      <c r="D22" s="12" t="s">
        <v>11</v>
      </c>
      <c r="E22" s="12" t="s">
        <v>1237</v>
      </c>
      <c r="F22" s="12" t="s">
        <v>584</v>
      </c>
      <c r="G22" s="12" t="s">
        <v>870</v>
      </c>
      <c r="H22" s="12" t="s">
        <v>1236</v>
      </c>
      <c r="I22" s="16" t="str">
        <f t="shared" ref="I22" si="2">_xlfn.CONCAT("D-",A22)</f>
        <v>D-LTST-C191KRKT</v>
      </c>
      <c r="J22" s="16" t="str">
        <f t="shared" ref="J22" si="3">I22</f>
        <v>D-LTST-C191KRKT</v>
      </c>
    </row>
    <row r="24" spans="1:10" x14ac:dyDescent="0.25">
      <c r="I24" s="30"/>
    </row>
    <row r="25" spans="1:10" x14ac:dyDescent="0.25">
      <c r="I25" s="30" t="s">
        <v>324</v>
      </c>
    </row>
    <row r="26" spans="1:10" x14ac:dyDescent="0.25">
      <c r="I26" s="30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12"/>
  <sheetViews>
    <sheetView workbookViewId="0">
      <selection activeCell="B31" sqref="B31"/>
    </sheetView>
  </sheetViews>
  <sheetFormatPr defaultRowHeight="15.75" x14ac:dyDescent="0.25"/>
  <cols>
    <col min="1" max="1" width="35.25" style="2" customWidth="1"/>
    <col min="2" max="2" width="23.875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36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</row>
    <row r="2" spans="1:11" x14ac:dyDescent="0.25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450</v>
      </c>
      <c r="F2" s="12" t="s">
        <v>400</v>
      </c>
      <c r="G2" s="2" t="s">
        <v>396</v>
      </c>
      <c r="H2" s="2" t="s">
        <v>869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447</v>
      </c>
      <c r="B3" s="2" t="s">
        <v>448</v>
      </c>
      <c r="C3" s="2" t="s">
        <v>98</v>
      </c>
      <c r="D3" s="2" t="s">
        <v>449</v>
      </c>
      <c r="E3" s="2" t="s">
        <v>450</v>
      </c>
      <c r="F3" s="12" t="s">
        <v>400</v>
      </c>
      <c r="G3" s="2" t="s">
        <v>447</v>
      </c>
      <c r="H3" s="2" t="s">
        <v>869</v>
      </c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451</v>
      </c>
      <c r="B4" s="2" t="s">
        <v>452</v>
      </c>
      <c r="C4" s="2" t="s">
        <v>453</v>
      </c>
      <c r="D4" s="2" t="s">
        <v>566</v>
      </c>
      <c r="E4" s="2" t="s">
        <v>450</v>
      </c>
      <c r="F4" s="12" t="s">
        <v>400</v>
      </c>
      <c r="G4" s="2" t="s">
        <v>451</v>
      </c>
      <c r="H4" s="2" t="s">
        <v>869</v>
      </c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563</v>
      </c>
      <c r="B5" s="2" t="s">
        <v>564</v>
      </c>
      <c r="C5" s="2" t="s">
        <v>98</v>
      </c>
      <c r="D5" s="2" t="s">
        <v>565</v>
      </c>
      <c r="F5" s="12" t="s">
        <v>567</v>
      </c>
      <c r="G5" s="2" t="s">
        <v>563</v>
      </c>
      <c r="H5" s="2" t="s">
        <v>869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599</v>
      </c>
      <c r="B6" s="2" t="s">
        <v>600</v>
      </c>
      <c r="C6" s="2" t="s">
        <v>601</v>
      </c>
      <c r="D6" s="2" t="s">
        <v>566</v>
      </c>
      <c r="F6" s="12" t="s">
        <v>400</v>
      </c>
      <c r="G6" s="2" t="s">
        <v>599</v>
      </c>
      <c r="H6" s="2" t="s">
        <v>869</v>
      </c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634</v>
      </c>
      <c r="B7" s="2" t="s">
        <v>637</v>
      </c>
      <c r="C7" s="2" t="s">
        <v>638</v>
      </c>
      <c r="D7" s="2" t="s">
        <v>639</v>
      </c>
      <c r="E7" s="2" t="s">
        <v>450</v>
      </c>
      <c r="F7" s="12" t="s">
        <v>400</v>
      </c>
      <c r="G7" s="2" t="s">
        <v>634</v>
      </c>
      <c r="H7" s="2" t="s">
        <v>869</v>
      </c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1049</v>
      </c>
      <c r="B8" s="2" t="s">
        <v>1050</v>
      </c>
      <c r="C8" s="2" t="s">
        <v>638</v>
      </c>
      <c r="D8" s="2" t="s">
        <v>639</v>
      </c>
      <c r="E8" s="2" t="s">
        <v>450</v>
      </c>
      <c r="F8" s="12" t="s">
        <v>400</v>
      </c>
      <c r="G8" s="2" t="s">
        <v>634</v>
      </c>
      <c r="H8" s="2" t="s">
        <v>869</v>
      </c>
      <c r="J8" s="2" t="str">
        <f t="shared" ref="J8:J12" si="2">A8</f>
        <v>ASGTX-C-120.00MHZ-1</v>
      </c>
      <c r="K8" s="2" t="str">
        <f t="shared" ref="K8:K12" si="3">J8</f>
        <v>ASGTX-C-120.00MHZ-1</v>
      </c>
    </row>
    <row r="9" spans="1:11" x14ac:dyDescent="0.25">
      <c r="A9" s="2" t="s">
        <v>1142</v>
      </c>
      <c r="B9" s="2" t="s">
        <v>1141</v>
      </c>
      <c r="C9" s="2" t="s">
        <v>1143</v>
      </c>
      <c r="D9" s="2" t="s">
        <v>1144</v>
      </c>
      <c r="E9" s="2" t="s">
        <v>450</v>
      </c>
      <c r="F9" s="12" t="s">
        <v>400</v>
      </c>
      <c r="G9" s="2" t="s">
        <v>1145</v>
      </c>
      <c r="H9" s="2" t="s">
        <v>869</v>
      </c>
      <c r="I9" s="2" t="s">
        <v>1146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1148</v>
      </c>
      <c r="B10" s="2" t="s">
        <v>1149</v>
      </c>
      <c r="C10" s="2" t="s">
        <v>398</v>
      </c>
      <c r="D10" s="2" t="s">
        <v>399</v>
      </c>
      <c r="E10" s="2" t="s">
        <v>1150</v>
      </c>
      <c r="F10" s="12" t="s">
        <v>400</v>
      </c>
      <c r="G10" s="2" t="s">
        <v>1147</v>
      </c>
      <c r="H10" s="2" t="s">
        <v>869</v>
      </c>
      <c r="I10" s="2" t="s">
        <v>1152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1176</v>
      </c>
      <c r="B11" t="s">
        <v>1178</v>
      </c>
      <c r="C11" s="2" t="s">
        <v>89</v>
      </c>
      <c r="D11" s="2" t="s">
        <v>426</v>
      </c>
      <c r="F11" s="12" t="s">
        <v>1177</v>
      </c>
      <c r="G11" s="2" t="s">
        <v>1176</v>
      </c>
      <c r="H11" s="2" t="s">
        <v>869</v>
      </c>
      <c r="I11" s="2" t="s">
        <v>1179</v>
      </c>
      <c r="J11" s="2" t="str">
        <f t="shared" si="2"/>
        <v>ADA4930-1</v>
      </c>
      <c r="K11" s="2" t="str">
        <f t="shared" si="3"/>
        <v>ADA4930-1</v>
      </c>
    </row>
    <row r="12" spans="1:11" x14ac:dyDescent="0.25">
      <c r="A12" s="2" t="s">
        <v>1334</v>
      </c>
      <c r="B12" s="2" t="s">
        <v>1335</v>
      </c>
      <c r="C12" s="2" t="s">
        <v>89</v>
      </c>
      <c r="D12" s="2" t="s">
        <v>696</v>
      </c>
      <c r="E12" s="2" t="s">
        <v>450</v>
      </c>
      <c r="F12" s="12" t="s">
        <v>567</v>
      </c>
      <c r="G12" s="2" t="s">
        <v>1336</v>
      </c>
      <c r="H12" s="2" t="s">
        <v>869</v>
      </c>
      <c r="I12" s="2" t="s">
        <v>696</v>
      </c>
      <c r="J12" s="2" t="str">
        <f t="shared" si="2"/>
        <v>INA293A2</v>
      </c>
      <c r="K12" s="2" t="str">
        <f t="shared" si="3"/>
        <v>INA293A2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K25"/>
  <sheetViews>
    <sheetView workbookViewId="0">
      <selection activeCell="B27" sqref="B27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bestFit="1" customWidth="1"/>
    <col min="9" max="9" width="14.375" style="2" customWidth="1"/>
    <col min="10" max="11" width="19.75" style="2" bestFit="1" customWidth="1"/>
    <col min="12" max="16384" width="9" style="2"/>
  </cols>
  <sheetData>
    <row r="1" spans="1:11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3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</row>
    <row r="2" spans="1:11" x14ac:dyDescent="0.25">
      <c r="A2" s="2" t="s">
        <v>496</v>
      </c>
      <c r="B2" s="2" t="s">
        <v>497</v>
      </c>
      <c r="C2" s="2" t="s">
        <v>98</v>
      </c>
      <c r="D2" s="2" t="s">
        <v>1248</v>
      </c>
      <c r="E2" s="2" t="s">
        <v>498</v>
      </c>
      <c r="F2" s="12" t="s">
        <v>499</v>
      </c>
      <c r="G2" s="2" t="s">
        <v>500</v>
      </c>
      <c r="H2" s="2" t="s">
        <v>869</v>
      </c>
      <c r="J2" s="2" t="str">
        <f>A2</f>
        <v>TXS02612RTWR</v>
      </c>
      <c r="K2" s="2" t="str">
        <f>J2</f>
        <v>TXS02612RTWR</v>
      </c>
    </row>
    <row r="3" spans="1:11" x14ac:dyDescent="0.25">
      <c r="A3" s="2" t="s">
        <v>540</v>
      </c>
      <c r="B3" s="2" t="s">
        <v>541</v>
      </c>
      <c r="C3" s="2" t="s">
        <v>98</v>
      </c>
      <c r="D3" s="2" t="s">
        <v>1247</v>
      </c>
      <c r="E3" s="2" t="s">
        <v>542</v>
      </c>
      <c r="F3" s="12" t="s">
        <v>499</v>
      </c>
      <c r="G3" s="2" t="s">
        <v>540</v>
      </c>
      <c r="H3" s="2" t="s">
        <v>869</v>
      </c>
      <c r="J3" s="2" t="str">
        <f t="shared" ref="J3:J25" si="0">A3</f>
        <v>SN74AVC4T245RSVR</v>
      </c>
      <c r="K3" s="2" t="str">
        <f>J3</f>
        <v>SN74AVC4T245RSVR</v>
      </c>
    </row>
    <row r="4" spans="1:11" x14ac:dyDescent="0.25">
      <c r="A4" s="2" t="s">
        <v>544</v>
      </c>
      <c r="B4" s="2" t="s">
        <v>543</v>
      </c>
      <c r="C4" s="2" t="s">
        <v>98</v>
      </c>
      <c r="D4" s="2" t="s">
        <v>1247</v>
      </c>
      <c r="E4" s="2" t="s">
        <v>545</v>
      </c>
      <c r="F4" s="12" t="s">
        <v>499</v>
      </c>
      <c r="G4" s="2" t="s">
        <v>544</v>
      </c>
      <c r="H4" s="2" t="s">
        <v>869</v>
      </c>
      <c r="J4" s="2" t="str">
        <f t="shared" si="0"/>
        <v>SN74AVC2T245RSW</v>
      </c>
      <c r="K4" s="2" t="str">
        <f t="shared" ref="K4:K9" si="1">J4</f>
        <v>SN74AVC2T245RSW</v>
      </c>
    </row>
    <row r="5" spans="1:11" x14ac:dyDescent="0.25">
      <c r="A5" s="2" t="s">
        <v>546</v>
      </c>
      <c r="B5" s="2" t="s">
        <v>547</v>
      </c>
      <c r="C5" s="2" t="s">
        <v>1245</v>
      </c>
      <c r="D5" s="2" t="s">
        <v>1246</v>
      </c>
      <c r="E5" s="2" t="s">
        <v>552</v>
      </c>
      <c r="F5" s="12" t="s">
        <v>499</v>
      </c>
      <c r="G5" s="2" t="s">
        <v>546</v>
      </c>
      <c r="H5" s="2" t="s">
        <v>869</v>
      </c>
      <c r="I5" s="2" t="s">
        <v>1042</v>
      </c>
      <c r="J5" s="2" t="str">
        <f t="shared" si="0"/>
        <v>FT4232HL</v>
      </c>
      <c r="K5" s="2" t="str">
        <f t="shared" si="1"/>
        <v>FT4232HL</v>
      </c>
    </row>
    <row r="6" spans="1:11" x14ac:dyDescent="0.25">
      <c r="A6" s="2" t="s">
        <v>550</v>
      </c>
      <c r="B6" s="2" t="s">
        <v>549</v>
      </c>
      <c r="C6" s="2" t="s">
        <v>98</v>
      </c>
      <c r="D6" s="2" t="s">
        <v>1248</v>
      </c>
      <c r="E6" s="2" t="s">
        <v>551</v>
      </c>
      <c r="F6" s="12" t="s">
        <v>499</v>
      </c>
      <c r="G6" s="2" t="s">
        <v>548</v>
      </c>
      <c r="H6" s="2" t="s">
        <v>869</v>
      </c>
      <c r="J6" s="2" t="str">
        <f t="shared" si="0"/>
        <v>TXS0108EPW</v>
      </c>
      <c r="K6" s="2" t="str">
        <f t="shared" si="1"/>
        <v>TXS0108EPW</v>
      </c>
    </row>
    <row r="7" spans="1:11" x14ac:dyDescent="0.25">
      <c r="A7" s="2" t="s">
        <v>569</v>
      </c>
      <c r="B7" s="3" t="s">
        <v>568</v>
      </c>
      <c r="C7" s="2" t="s">
        <v>570</v>
      </c>
      <c r="D7" s="2" t="s">
        <v>1243</v>
      </c>
      <c r="E7" s="2" t="s">
        <v>571</v>
      </c>
      <c r="F7" s="12" t="s">
        <v>499</v>
      </c>
      <c r="G7" s="2" t="s">
        <v>569</v>
      </c>
      <c r="H7" s="2" t="s">
        <v>869</v>
      </c>
      <c r="J7" s="2" t="str">
        <f t="shared" si="0"/>
        <v>93LC56BT/SN</v>
      </c>
      <c r="K7" s="2" t="str">
        <f t="shared" si="1"/>
        <v>93LC56BT/SN</v>
      </c>
    </row>
    <row r="8" spans="1:11" x14ac:dyDescent="0.25">
      <c r="A8" s="2" t="s">
        <v>596</v>
      </c>
      <c r="B8" s="2" t="s">
        <v>597</v>
      </c>
      <c r="C8" s="2" t="s">
        <v>98</v>
      </c>
      <c r="D8" s="2" t="s">
        <v>1246</v>
      </c>
      <c r="E8" s="2" t="s">
        <v>598</v>
      </c>
      <c r="F8" s="12" t="s">
        <v>499</v>
      </c>
      <c r="G8" s="2" t="s">
        <v>596</v>
      </c>
      <c r="H8" s="2" t="s">
        <v>869</v>
      </c>
      <c r="J8" s="2" t="str">
        <f t="shared" si="0"/>
        <v>DP83867ISRGZ</v>
      </c>
      <c r="K8" s="2" t="str">
        <f t="shared" si="1"/>
        <v>DP83867ISRGZ</v>
      </c>
    </row>
    <row r="9" spans="1:11" x14ac:dyDescent="0.25">
      <c r="A9" s="2" t="s">
        <v>629</v>
      </c>
      <c r="B9" s="2" t="s">
        <v>630</v>
      </c>
      <c r="C9" s="2" t="s">
        <v>89</v>
      </c>
      <c r="D9" s="2" t="s">
        <v>1246</v>
      </c>
      <c r="E9" s="2" t="s">
        <v>571</v>
      </c>
      <c r="F9" s="12" t="s">
        <v>499</v>
      </c>
      <c r="G9" s="2" t="s">
        <v>628</v>
      </c>
      <c r="H9" s="2" t="s">
        <v>869</v>
      </c>
      <c r="J9" s="2" t="str">
        <f t="shared" si="0"/>
        <v>MAX3485CSA</v>
      </c>
      <c r="K9" s="2" t="str">
        <f t="shared" si="1"/>
        <v>MAX3485CSA</v>
      </c>
    </row>
    <row r="10" spans="1:11" x14ac:dyDescent="0.25">
      <c r="A10" s="2" t="s">
        <v>694</v>
      </c>
      <c r="B10" s="2" t="s">
        <v>695</v>
      </c>
      <c r="C10" s="2" t="s">
        <v>98</v>
      </c>
      <c r="D10" s="2" t="s">
        <v>1249</v>
      </c>
      <c r="E10" s="2" t="s">
        <v>696</v>
      </c>
      <c r="F10" s="12" t="s">
        <v>499</v>
      </c>
      <c r="G10" s="2" t="s">
        <v>694</v>
      </c>
      <c r="H10" s="2" t="s">
        <v>869</v>
      </c>
      <c r="I10" s="2" t="s">
        <v>846</v>
      </c>
      <c r="J10" s="2" t="str">
        <f t="shared" si="0"/>
        <v>SN74LVC1G14DBVT</v>
      </c>
      <c r="K10" s="2" t="str">
        <f t="shared" ref="K10:K25" si="2">J10</f>
        <v>SN74LVC1G14DBVT</v>
      </c>
    </row>
    <row r="11" spans="1:11" x14ac:dyDescent="0.25">
      <c r="A11" s="2" t="s">
        <v>697</v>
      </c>
      <c r="B11" s="2" t="s">
        <v>698</v>
      </c>
      <c r="C11" s="2" t="s">
        <v>98</v>
      </c>
      <c r="D11" s="2" t="s">
        <v>1249</v>
      </c>
      <c r="E11" s="2" t="s">
        <v>696</v>
      </c>
      <c r="F11" s="12" t="s">
        <v>499</v>
      </c>
      <c r="G11" s="2" t="s">
        <v>697</v>
      </c>
      <c r="H11" s="2" t="s">
        <v>869</v>
      </c>
      <c r="I11" s="2" t="s">
        <v>846</v>
      </c>
      <c r="J11" s="2" t="str">
        <f t="shared" si="0"/>
        <v>SN74LVC1G17DBVT</v>
      </c>
      <c r="K11" s="2" t="str">
        <f t="shared" si="2"/>
        <v>SN74LVC1G17DBVT</v>
      </c>
    </row>
    <row r="12" spans="1:11" x14ac:dyDescent="0.25">
      <c r="A12" s="2" t="s">
        <v>830</v>
      </c>
      <c r="B12" s="2" t="s">
        <v>797</v>
      </c>
      <c r="C12" s="2" t="s">
        <v>98</v>
      </c>
      <c r="D12" s="2" t="s">
        <v>1248</v>
      </c>
      <c r="E12" s="2" t="s">
        <v>798</v>
      </c>
      <c r="F12" s="12" t="s">
        <v>499</v>
      </c>
      <c r="G12" s="2" t="s">
        <v>796</v>
      </c>
      <c r="H12" s="2" t="s">
        <v>869</v>
      </c>
      <c r="I12" s="2" t="s">
        <v>798</v>
      </c>
      <c r="J12" s="2" t="str">
        <f t="shared" si="0"/>
        <v>TXS0104ERGYR</v>
      </c>
      <c r="K12" s="2" t="str">
        <f t="shared" si="2"/>
        <v>TXS0104ERGYR</v>
      </c>
    </row>
    <row r="13" spans="1:11" x14ac:dyDescent="0.25">
      <c r="A13" s="2" t="s">
        <v>844</v>
      </c>
      <c r="B13" s="2" t="s">
        <v>1113</v>
      </c>
      <c r="C13" s="2" t="s">
        <v>98</v>
      </c>
      <c r="D13" s="2" t="s">
        <v>1246</v>
      </c>
      <c r="E13" s="2" t="s">
        <v>696</v>
      </c>
      <c r="F13" s="12" t="s">
        <v>499</v>
      </c>
      <c r="G13" s="2" t="s">
        <v>845</v>
      </c>
      <c r="H13" s="2" t="s">
        <v>869</v>
      </c>
      <c r="I13" s="2" t="s">
        <v>846</v>
      </c>
      <c r="J13" s="2" t="str">
        <f t="shared" si="0"/>
        <v>SN65LVDS1DBVR</v>
      </c>
      <c r="K13" s="2" t="str">
        <f t="shared" si="2"/>
        <v>SN65LVDS1DBVR</v>
      </c>
    </row>
    <row r="14" spans="1:11" x14ac:dyDescent="0.25">
      <c r="A14" s="2" t="s">
        <v>1022</v>
      </c>
      <c r="B14" s="2" t="s">
        <v>1021</v>
      </c>
      <c r="C14" s="2" t="s">
        <v>98</v>
      </c>
      <c r="D14" s="2" t="s">
        <v>1249</v>
      </c>
      <c r="E14" s="2" t="s">
        <v>1023</v>
      </c>
      <c r="F14" s="12" t="s">
        <v>499</v>
      </c>
      <c r="G14" s="2" t="s">
        <v>1024</v>
      </c>
      <c r="H14" s="2" t="s">
        <v>869</v>
      </c>
      <c r="I14" s="2" t="s">
        <v>1023</v>
      </c>
      <c r="J14" s="2" t="str">
        <f t="shared" si="0"/>
        <v>SN74ACT04PWR</v>
      </c>
      <c r="K14" s="2" t="str">
        <f t="shared" si="2"/>
        <v>SN74ACT04PWR</v>
      </c>
    </row>
    <row r="15" spans="1:11" x14ac:dyDescent="0.25">
      <c r="A15" s="2" t="s">
        <v>1027</v>
      </c>
      <c r="B15" s="2" t="s">
        <v>1025</v>
      </c>
      <c r="C15" s="2" t="s">
        <v>98</v>
      </c>
      <c r="D15" s="2" t="s">
        <v>1249</v>
      </c>
      <c r="E15" s="2" t="s">
        <v>1023</v>
      </c>
      <c r="F15" s="12" t="s">
        <v>499</v>
      </c>
      <c r="G15" s="2" t="s">
        <v>1026</v>
      </c>
      <c r="H15" s="2" t="s">
        <v>869</v>
      </c>
      <c r="I15" s="2" t="s">
        <v>1023</v>
      </c>
      <c r="J15" s="2" t="str">
        <f t="shared" si="0"/>
        <v>SN74ACT17PWR</v>
      </c>
      <c r="K15" s="2" t="str">
        <f t="shared" si="2"/>
        <v>SN74ACT17PWR</v>
      </c>
    </row>
    <row r="16" spans="1:11" x14ac:dyDescent="0.25">
      <c r="A16" s="2" t="s">
        <v>1054</v>
      </c>
      <c r="B16" t="s">
        <v>1055</v>
      </c>
      <c r="C16" s="2" t="s">
        <v>98</v>
      </c>
      <c r="D16" s="2" t="s">
        <v>1247</v>
      </c>
      <c r="E16" s="2" t="s">
        <v>1056</v>
      </c>
      <c r="F16" s="12" t="s">
        <v>499</v>
      </c>
      <c r="G16" s="2" t="s">
        <v>1057</v>
      </c>
      <c r="H16" s="2" t="s">
        <v>869</v>
      </c>
      <c r="I16" s="2" t="s">
        <v>1056</v>
      </c>
      <c r="J16" s="2" t="str">
        <f t="shared" si="0"/>
        <v xml:space="preserve">SN74LVC8T245RHL </v>
      </c>
      <c r="K16" s="2" t="str">
        <f t="shared" si="2"/>
        <v xml:space="preserve">SN74LVC8T245RHL </v>
      </c>
    </row>
    <row r="17" spans="1:11" x14ac:dyDescent="0.25">
      <c r="A17" s="2" t="s">
        <v>1059</v>
      </c>
      <c r="B17" s="2" t="s">
        <v>1060</v>
      </c>
      <c r="C17" s="2" t="s">
        <v>98</v>
      </c>
      <c r="D17" s="2" t="s">
        <v>1249</v>
      </c>
      <c r="E17" s="2" t="s">
        <v>798</v>
      </c>
      <c r="F17" s="12" t="s">
        <v>499</v>
      </c>
      <c r="G17" s="2" t="s">
        <v>1058</v>
      </c>
      <c r="H17" s="2" t="s">
        <v>869</v>
      </c>
      <c r="I17" s="2" t="s">
        <v>798</v>
      </c>
      <c r="J17" s="2" t="str">
        <f t="shared" si="0"/>
        <v>SN74LVC04ARGYR</v>
      </c>
      <c r="K17" s="2" t="str">
        <f t="shared" si="2"/>
        <v>SN74LVC04ARGYR</v>
      </c>
    </row>
    <row r="18" spans="1:11" x14ac:dyDescent="0.25">
      <c r="A18" s="2" t="s">
        <v>1061</v>
      </c>
      <c r="B18" s="2" t="s">
        <v>1062</v>
      </c>
      <c r="C18" s="2" t="s">
        <v>98</v>
      </c>
      <c r="D18" s="2" t="s">
        <v>1249</v>
      </c>
      <c r="E18" s="2" t="s">
        <v>1063</v>
      </c>
      <c r="F18" s="12" t="s">
        <v>499</v>
      </c>
      <c r="G18" s="2" t="s">
        <v>1061</v>
      </c>
      <c r="H18" s="2" t="s">
        <v>869</v>
      </c>
      <c r="I18" s="2" t="s">
        <v>1063</v>
      </c>
      <c r="J18" s="2" t="str">
        <f t="shared" si="0"/>
        <v>SN74LVC1G04DSF2</v>
      </c>
      <c r="K18" s="2" t="str">
        <f t="shared" si="2"/>
        <v>SN74LVC1G04DSF2</v>
      </c>
    </row>
    <row r="19" spans="1:11" x14ac:dyDescent="0.25">
      <c r="A19" s="2" t="s">
        <v>1111</v>
      </c>
      <c r="B19" s="2" t="s">
        <v>1112</v>
      </c>
      <c r="C19" s="2" t="s">
        <v>98</v>
      </c>
      <c r="D19" s="2" t="s">
        <v>1246</v>
      </c>
      <c r="E19" s="2" t="s">
        <v>696</v>
      </c>
      <c r="F19" s="12" t="s">
        <v>499</v>
      </c>
      <c r="G19" s="2" t="s">
        <v>845</v>
      </c>
      <c r="H19" s="2" t="s">
        <v>869</v>
      </c>
      <c r="I19" s="2" t="s">
        <v>846</v>
      </c>
      <c r="J19" s="2" t="str">
        <f t="shared" si="0"/>
        <v>SN65LVDT2DBV</v>
      </c>
      <c r="K19" s="2" t="str">
        <f t="shared" si="2"/>
        <v>SN65LVDT2DBV</v>
      </c>
    </row>
    <row r="20" spans="1:11" x14ac:dyDescent="0.25">
      <c r="A20" s="2" t="s">
        <v>1134</v>
      </c>
      <c r="B20" s="2" t="s">
        <v>1135</v>
      </c>
      <c r="C20" s="2" t="s">
        <v>98</v>
      </c>
      <c r="D20" s="2" t="s">
        <v>1246</v>
      </c>
      <c r="E20" s="2" t="s">
        <v>545</v>
      </c>
      <c r="F20" s="12" t="s">
        <v>499</v>
      </c>
      <c r="G20" s="2" t="s">
        <v>1136</v>
      </c>
      <c r="H20" s="2" t="s">
        <v>869</v>
      </c>
      <c r="I20" s="2" t="s">
        <v>545</v>
      </c>
      <c r="J20" s="2" t="str">
        <f t="shared" si="0"/>
        <v>SN65LVDS4RSE</v>
      </c>
      <c r="K20" s="2" t="str">
        <f t="shared" si="2"/>
        <v>SN65LVDS4RSE</v>
      </c>
    </row>
    <row r="21" spans="1:11" x14ac:dyDescent="0.25">
      <c r="A21" s="2" t="s">
        <v>1165</v>
      </c>
      <c r="B21" s="2" t="s">
        <v>1166</v>
      </c>
      <c r="C21" s="2" t="s">
        <v>89</v>
      </c>
      <c r="D21" s="2" t="s">
        <v>1244</v>
      </c>
      <c r="E21" s="2" t="s">
        <v>1167</v>
      </c>
      <c r="F21" s="12" t="s">
        <v>499</v>
      </c>
      <c r="G21" s="2" t="s">
        <v>1164</v>
      </c>
      <c r="H21" s="2" t="s">
        <v>869</v>
      </c>
      <c r="I21" s="2" t="s">
        <v>1167</v>
      </c>
      <c r="J21" s="2" t="str">
        <f t="shared" si="0"/>
        <v>AD9717BCPZ</v>
      </c>
      <c r="K21" s="2" t="str">
        <f t="shared" si="2"/>
        <v>AD9717BCPZ</v>
      </c>
    </row>
    <row r="22" spans="1:11" x14ac:dyDescent="0.25">
      <c r="A22" s="2" t="s">
        <v>1222</v>
      </c>
      <c r="B22" s="2" t="s">
        <v>1171</v>
      </c>
      <c r="C22" s="2" t="s">
        <v>98</v>
      </c>
      <c r="D22" s="2" t="s">
        <v>1247</v>
      </c>
      <c r="E22" s="2" t="s">
        <v>542</v>
      </c>
      <c r="F22" s="12" t="s">
        <v>499</v>
      </c>
      <c r="G22" s="2" t="s">
        <v>1170</v>
      </c>
      <c r="H22" s="2" t="s">
        <v>869</v>
      </c>
      <c r="I22" s="2" t="s">
        <v>542</v>
      </c>
      <c r="J22" s="2" t="str">
        <f t="shared" si="0"/>
        <v>SN74AXC4T774RSV</v>
      </c>
      <c r="K22" s="2" t="str">
        <f t="shared" si="2"/>
        <v>SN74AXC4T774RSV</v>
      </c>
    </row>
    <row r="23" spans="1:11" x14ac:dyDescent="0.25">
      <c r="A23" s="2" t="s">
        <v>1173</v>
      </c>
      <c r="B23" s="2" t="s">
        <v>1174</v>
      </c>
      <c r="C23" s="2" t="s">
        <v>1175</v>
      </c>
      <c r="D23" s="2" t="s">
        <v>1242</v>
      </c>
      <c r="E23" s="2" t="s">
        <v>498</v>
      </c>
      <c r="F23" s="12" t="s">
        <v>499</v>
      </c>
      <c r="G23" s="2" t="s">
        <v>1173</v>
      </c>
      <c r="H23" s="2" t="s">
        <v>869</v>
      </c>
      <c r="I23" s="2" t="s">
        <v>498</v>
      </c>
      <c r="J23" s="2" t="str">
        <f t="shared" si="0"/>
        <v>ICM-20948</v>
      </c>
      <c r="K23" s="2" t="str">
        <f t="shared" si="2"/>
        <v>ICM-20948</v>
      </c>
    </row>
    <row r="24" spans="1:11" x14ac:dyDescent="0.25">
      <c r="A24" s="2" t="s">
        <v>1238</v>
      </c>
      <c r="B24" s="2" t="s">
        <v>1239</v>
      </c>
      <c r="C24" s="2" t="s">
        <v>1240</v>
      </c>
      <c r="D24" s="2" t="s">
        <v>1243</v>
      </c>
      <c r="E24" s="2" t="s">
        <v>1241</v>
      </c>
      <c r="F24" s="12" t="s">
        <v>499</v>
      </c>
      <c r="G24" s="2" t="s">
        <v>1238</v>
      </c>
      <c r="H24" s="2" t="s">
        <v>869</v>
      </c>
      <c r="I24" s="2" t="s">
        <v>1241</v>
      </c>
      <c r="J24" s="2" t="str">
        <f t="shared" si="0"/>
        <v>MX25L12833FM2I-10G</v>
      </c>
      <c r="K24" s="2" t="str">
        <f t="shared" si="2"/>
        <v>MX25L12833FM2I-10G</v>
      </c>
    </row>
    <row r="25" spans="1:11" x14ac:dyDescent="0.25">
      <c r="A25" s="2" t="s">
        <v>1253</v>
      </c>
      <c r="B25" s="2" t="s">
        <v>1254</v>
      </c>
      <c r="C25" s="2" t="s">
        <v>89</v>
      </c>
      <c r="D25" s="2" t="s">
        <v>1246</v>
      </c>
      <c r="E25" s="2" t="s">
        <v>1241</v>
      </c>
      <c r="F25" s="12" t="s">
        <v>499</v>
      </c>
      <c r="G25" s="2" t="s">
        <v>1253</v>
      </c>
      <c r="H25" s="2" t="s">
        <v>869</v>
      </c>
      <c r="I25" s="2" t="s">
        <v>1241</v>
      </c>
      <c r="J25" s="2" t="str">
        <f t="shared" si="0"/>
        <v>LTC2875HS8</v>
      </c>
      <c r="K25" s="2" t="str">
        <f t="shared" si="2"/>
        <v>LTC2875HS8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3EF1-FA14-4AA2-A209-635C3603577A}">
  <dimension ref="A1:J3"/>
  <sheetViews>
    <sheetView workbookViewId="0">
      <selection activeCell="I11" sqref="I11"/>
    </sheetView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5</v>
      </c>
      <c r="F1" s="12" t="s">
        <v>6</v>
      </c>
      <c r="G1" s="12" t="s">
        <v>7</v>
      </c>
      <c r="H1" s="12" t="s">
        <v>8</v>
      </c>
      <c r="I1" s="21" t="s">
        <v>29</v>
      </c>
      <c r="J1" s="25" t="s">
        <v>35</v>
      </c>
    </row>
    <row r="2" spans="1:10" x14ac:dyDescent="0.25">
      <c r="A2" s="2" t="s">
        <v>1226</v>
      </c>
      <c r="B2" t="s">
        <v>1227</v>
      </c>
      <c r="C2" s="2" t="s">
        <v>1228</v>
      </c>
      <c r="D2" s="2" t="s">
        <v>1229</v>
      </c>
      <c r="E2" t="s">
        <v>1230</v>
      </c>
      <c r="F2" t="s">
        <v>1226</v>
      </c>
      <c r="G2" s="2" t="s">
        <v>869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2026-06-30T14:27:38Z</dcterms:modified>
</cp:coreProperties>
</file>